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thèse agences R" sheetId="1" state="visible" r:id="rId3"/>
    <sheet name="Opérateurs R" sheetId="2" state="visible" r:id="rId4"/>
    <sheet name="ODAC-ODAL R" sheetId="3" state="visible" r:id="rId5"/>
    <sheet name="Synthèse ETP" sheetId="4" state="visible" r:id="rId6"/>
    <sheet name="FPT" sheetId="5" state="visible" r:id="rId7"/>
    <sheet name="FPH" sheetId="6" state="visible" r:id="rId8"/>
    <sheet name="FPE" sheetId="7" state="visible" r:id="rId9"/>
    <sheet name="Emplois Etat RAP 2024" sheetId="8" state="visible" r:id="rId10"/>
    <sheet name="Annexe Etat" sheetId="9" state="visible" r:id="rId11"/>
    <sheet name="Commissions R" sheetId="10" state="visible" r:id="rId12"/>
  </sheets>
  <definedNames>
    <definedName function="false" hidden="true" localSheetId="9" name="_xlnm._FilterDatabase" vbProcedure="false">'Commissions R'!$A$1:$M$325</definedName>
    <definedName function="false" hidden="true" localSheetId="2" name="_xlnm._FilterDatabase" vbProcedure="false">'ODAC-ODAL R'!$A$1:$H$752</definedName>
    <definedName function="false" hidden="true" localSheetId="1" name="_xlnm._FilterDatabase" vbProcedure="false">'Opérateurs R'!$A$4:$R$184</definedName>
    <definedName function="false" hidden="false" name="_xlfn_IFS" vbProcedure="false">#REF!</definedName>
    <definedName function="false" hidden="false" name="_xlfn_SUMIFS" vbProcedure="false">#REF!</definedName>
    <definedName function="false" hidden="false" name="_xlfn_XLOOKUP"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<sst xmlns="http://schemas.openxmlformats.org/spreadsheetml/2006/main" count="5490" uniqueCount="2555">
  <si>
    <t xml:space="preserve">Total (2023)</t>
  </si>
  <si>
    <t xml:space="preserve">Fermeture</t>
  </si>
  <si>
    <t xml:space="preserve">Autonomie</t>
  </si>
  <si>
    <t xml:space="preserve">Synthèse Résolution</t>
  </si>
  <si>
    <t xml:space="preserve">Cession d'actif</t>
  </si>
  <si>
    <t xml:space="preserve">Suppression</t>
  </si>
  <si>
    <t xml:space="preserve">Internali-sation</t>
  </si>
  <si>
    <t xml:space="preserve">EPIC - musée &amp; patrimoine</t>
  </si>
  <si>
    <t xml:space="preserve">EPIC - enseignement &amp; recherche</t>
  </si>
  <si>
    <t xml:space="preserve">Autorité indépendante</t>
  </si>
  <si>
    <t xml:space="preserve">Agences Etat</t>
  </si>
  <si>
    <t xml:space="preserve">Opérateurs (PLF)</t>
  </si>
  <si>
    <t xml:space="preserve">Organismes hors PLF</t>
  </si>
  <si>
    <t xml:space="preserve">Autorités indépendantes</t>
  </si>
  <si>
    <t xml:space="preserve">Commissions</t>
  </si>
  <si>
    <t xml:space="preserve">Agences locales</t>
  </si>
  <si>
    <t xml:space="preserve">Total agences</t>
  </si>
  <si>
    <t xml:space="preserve">M</t>
  </si>
  <si>
    <t xml:space="preserve">Mission</t>
  </si>
  <si>
    <t xml:space="preserve">Pg</t>
  </si>
  <si>
    <t xml:space="preserve">Programme</t>
  </si>
  <si>
    <t xml:space="preserve">Intitulé de l'opérateur</t>
  </si>
  <si>
    <t xml:space="preserve">Nb/cat.</t>
  </si>
  <si>
    <t xml:space="preserve">LFI 2025 - ETPT total</t>
  </si>
  <si>
    <t xml:space="preserve">LFI 2025 – ETPT sous plafond</t>
  </si>
  <si>
    <t xml:space="preserve">LFI 2025 – ETPT hors plafond</t>
  </si>
  <si>
    <t xml:space="preserve">PLF 2026 - ETPT total</t>
  </si>
  <si>
    <t xml:space="preserve">PLF 2026 – ETPT sous plafond</t>
  </si>
  <si>
    <t xml:space="preserve">PLF 2026 – ETPT hors plafond</t>
  </si>
  <si>
    <t xml:space="preserve">Vente</t>
  </si>
  <si>
    <t xml:space="preserve">EPIC - musée</t>
  </si>
  <si>
    <t xml:space="preserve">EPIC - études</t>
  </si>
  <si>
    <t xml:space="preserve">Internalisation</t>
  </si>
  <si>
    <t xml:space="preserve">Total général</t>
  </si>
  <si>
    <t xml:space="preserve">ETP</t>
  </si>
  <si>
    <t xml:space="preserve">Académie des technologies</t>
  </si>
  <si>
    <t xml:space="preserve">X</t>
  </si>
  <si>
    <t xml:space="preserve">ACMOSS - Agence des Communications Mobiles Opérationnelles de Sécurité et de Secours</t>
  </si>
  <si>
    <t xml:space="preserve">ADEME - Agence de l'environnement et de la maîtrise de l'énergie</t>
  </si>
  <si>
    <t xml:space="preserve">AEFE - Agence pour l'enseignement français à l'étranger</t>
  </si>
  <si>
    <t xml:space="preserve">AFITF - Agence de financement des infrastructures de transport de France</t>
  </si>
  <si>
    <t xml:space="preserve">AFPA - Agence nationale pour la formation professionnelle des adultes</t>
  </si>
  <si>
    <t xml:space="preserve">AFR - Académie de France à Rome</t>
  </si>
  <si>
    <t xml:space="preserve">Agences de l'eau</t>
  </si>
  <si>
    <t xml:space="preserve">AGRASC - Agence de gestion et de recouvrement des avoirs saisis et confisqués</t>
  </si>
  <si>
    <t xml:space="preserve">ANACT - Agence nationale pour l'amélioration des conditions de travail</t>
  </si>
  <si>
    <t xml:space="preserve">ANAH - Agence nationale de l'habitat</t>
  </si>
  <si>
    <t xml:space="preserve">ANCOLS - Agence nationale de contrôle du logement social</t>
  </si>
  <si>
    <t xml:space="preserve">ANCT - Agence nationale de la cohésion des territoires</t>
  </si>
  <si>
    <t xml:space="preserve">ANDRA - Agence nationale pour la gestion des déchets radioactifs</t>
  </si>
  <si>
    <t xml:space="preserve">ANFr - Agence nationale des fréquences</t>
  </si>
  <si>
    <t xml:space="preserve">ANGDM - Agence nationale pour la garantie des droits des mineurs</t>
  </si>
  <si>
    <t xml:space="preserve">ANR - Agence nationale de la recherche</t>
  </si>
  <si>
    <t xml:space="preserve">ANS - Agence nationale du sport</t>
  </si>
  <si>
    <t xml:space="preserve">ANSC - Agence nationale du numérique de la sécurité civile</t>
  </si>
  <si>
    <t xml:space="preserve">ANSES - Agence nationale de sécurité sanitaire, de l'alimentation, de l'environnement et du travail</t>
  </si>
  <si>
    <t xml:space="preserve">ANTAI - Agence nationale de traitement automatisé des infractions</t>
  </si>
  <si>
    <t xml:space="preserve">ANTS - Agence nationale des titres sécurisés</t>
  </si>
  <si>
    <t xml:space="preserve">APIJ - Agence publique pour l'immobilier de la Justice</t>
  </si>
  <si>
    <t xml:space="preserve">ARS - Agences régionales de santé</t>
  </si>
  <si>
    <t xml:space="preserve">ASC - Agence du service civique</t>
  </si>
  <si>
    <t xml:space="preserve">ASP - Agence de services et de paiement</t>
  </si>
  <si>
    <t xml:space="preserve">Associations de coordination technique agricole et des industries agroalimentaires</t>
  </si>
  <si>
    <t xml:space="preserve">Atout-France</t>
  </si>
  <si>
    <t xml:space="preserve">Autres opérateurs d'enseignement supérieur et de recherche</t>
  </si>
  <si>
    <t xml:space="preserve">BnF - Bibliothèque nationale de France</t>
  </si>
  <si>
    <t xml:space="preserve">BPI - Bibliothèque publique d'information</t>
  </si>
  <si>
    <t xml:space="preserve">BRGM - Bureau de recherches géologiques et minières</t>
  </si>
  <si>
    <t xml:space="preserve">Business France</t>
  </si>
  <si>
    <t xml:space="preserve">CAMPUS France</t>
  </si>
  <si>
    <t xml:space="preserve">CAPA - Cité de l'architecture et du patrimoine</t>
  </si>
  <si>
    <t xml:space="preserve">CEA - Commissariat à l'énergie atomique et aux énergies alternatives</t>
  </si>
  <si>
    <t xml:space="preserve">CELRL - Conservatoire de l'espace littoral et des rivages lacustres</t>
  </si>
  <si>
    <t xml:space="preserve">Centre inffo - Centre pour le développement de l'information sur la formation permanente</t>
  </si>
  <si>
    <t xml:space="preserve">CEREMA - Centre d'études et d'expertise sur les risques, l'environnement, la mobilité et l'aménagement</t>
  </si>
  <si>
    <t xml:space="preserve">CEREQ - Centre d'Etudes et de Recherches sur les Qualifications</t>
  </si>
  <si>
    <t xml:space="preserve">CGLLS - Caisse de garantie du logement locatif social</t>
  </si>
  <si>
    <t xml:space="preserve">Chaillot – Théâtre national de la Danse</t>
  </si>
  <si>
    <t xml:space="preserve">Cinémathèque française</t>
  </si>
  <si>
    <t xml:space="preserve">CIRAD - Centre de coopération internationale en recherche agronomique pour le développement</t>
  </si>
  <si>
    <t xml:space="preserve">CMN - Centre des monuments nationaux</t>
  </si>
  <si>
    <t xml:space="preserve">CNAC - Centre national des arts du cirque</t>
  </si>
  <si>
    <t xml:space="preserve">CNAC-GP - Centre national d'art et de culture - Georges Pompidou</t>
  </si>
  <si>
    <t xml:space="preserve">CNAP - Centre national des arts plastiques</t>
  </si>
  <si>
    <t xml:space="preserve">CNAPS - Conseil national des activités privées de sécurité</t>
  </si>
  <si>
    <t xml:space="preserve">CNC - Centre national du cinéma et de l'image animée</t>
  </si>
  <si>
    <t xml:space="preserve">CND - Centre national de la danse</t>
  </si>
  <si>
    <t xml:space="preserve">CNED - Centre national d'enseignement à distance</t>
  </si>
  <si>
    <t xml:space="preserve">CNES - Centre national d'études spatiales</t>
  </si>
  <si>
    <t xml:space="preserve">CNL - Centre national du livre</t>
  </si>
  <si>
    <t xml:space="preserve">CNM - Centre national de la musique</t>
  </si>
  <si>
    <t xml:space="preserve">CNPF - Centre national de la propriété forestière</t>
  </si>
  <si>
    <t xml:space="preserve">CNRS - Centre national de la recherche scientifique</t>
  </si>
  <si>
    <t xml:space="preserve">CNSAD - Conservatoire national supérieur d'art dramatique</t>
  </si>
  <si>
    <t xml:space="preserve">CNSMD Lyon - Conservatoire national supérieur de musique et de danse de Lyon</t>
  </si>
  <si>
    <t xml:space="preserve">CNSMD Paris - Conservatoire national supérieur de musique et de danse de Paris</t>
  </si>
  <si>
    <t xml:space="preserve">Comédie Française</t>
  </si>
  <si>
    <t xml:space="preserve">Communautés d'universités et d'établissements</t>
  </si>
  <si>
    <t xml:space="preserve">Ecole de l'air et de l'espace</t>
  </si>
  <si>
    <t xml:space="preserve">Ecole du Louvre</t>
  </si>
  <si>
    <t xml:space="preserve">Ecole navale</t>
  </si>
  <si>
    <t xml:space="preserve">Ecoles d'architecture - Ecoles nationales supérieures d'architecture</t>
  </si>
  <si>
    <t xml:space="preserve">Ecoles d'art en Région</t>
  </si>
  <si>
    <t xml:space="preserve">Ecoles d'enseignement supérieur agricole et vétérinaire</t>
  </si>
  <si>
    <t xml:space="preserve">Ecoles et formations d'ingénieurs</t>
  </si>
  <si>
    <t xml:space="preserve">Ecoles nationales des sports</t>
  </si>
  <si>
    <t xml:space="preserve">ECPAD - Etablissement de communication et de production audiovisuelle de la défense</t>
  </si>
  <si>
    <t xml:space="preserve">ENAC - Ecole nationale de l'aviation civile</t>
  </si>
  <si>
    <t xml:space="preserve">ENAP - Ecole nationale de l'administration pénitentiaire</t>
  </si>
  <si>
    <t xml:space="preserve">ENIM - Etablissement national des invalides de la marine</t>
  </si>
  <si>
    <t xml:space="preserve">ENM - Ecole nationale de la magistrature</t>
  </si>
  <si>
    <t xml:space="preserve">ENPC - Ecole nationale des Ponts et Chaussées</t>
  </si>
  <si>
    <t xml:space="preserve">ENSAD - Ecole nationale supérieure des arts décoratifs</t>
  </si>
  <si>
    <t xml:space="preserve">ENSBA - Ecole nationale supérieure des beaux-arts</t>
  </si>
  <si>
    <t xml:space="preserve">ENSCI - Ecole nationale supérieure de création industrielle</t>
  </si>
  <si>
    <t xml:space="preserve">Ensemble intercontemporain</t>
  </si>
  <si>
    <t xml:space="preserve">ENSM - Ecole nationale supérieure maritime</t>
  </si>
  <si>
    <t xml:space="preserve">ENSMIS - Ecole nationale supérieure des métiers de l'image et du son</t>
  </si>
  <si>
    <t xml:space="preserve">ENSPolice - Ecole nationale supérieure de la police</t>
  </si>
  <si>
    <t xml:space="preserve">ENSTA - Ecole nationale supérieure de techniques avancées</t>
  </si>
  <si>
    <t xml:space="preserve">ENTPE - Ecole nationale des travaux publics de l'Etat</t>
  </si>
  <si>
    <t xml:space="preserve">EPCMPP - Etablissement public de la Cité de la musique - Philharmonie de Paris</t>
  </si>
  <si>
    <t xml:space="preserve">EPIDE - Etablissement pour l'insertion dans l'emploi</t>
  </si>
  <si>
    <t xml:space="preserve">EPMQB - Etablissement public du musée du quai Branly</t>
  </si>
  <si>
    <t xml:space="preserve">EPMSM - Etablissement public du Mont-Saint-Michel</t>
  </si>
  <si>
    <t xml:space="preserve">EPPD - Etablissement public du palais de la porte Dorée</t>
  </si>
  <si>
    <t xml:space="preserve">EPPGHV - Etablissement public du parc et de la grande halle de la Villette</t>
  </si>
  <si>
    <t xml:space="preserve">EPRNDP - Etablissement public chargé de la conservation et de la restauration de la cathédrale Notre-Dame de Paris</t>
  </si>
  <si>
    <t xml:space="preserve">EPSF - Etablissement public de sécurité ferroviaire</t>
  </si>
  <si>
    <t xml:space="preserve">EPV - Etablissement public du musée et du domaine national de Versailles</t>
  </si>
  <si>
    <t xml:space="preserve">Etablissement public du château de Fontainebleau</t>
  </si>
  <si>
    <t xml:space="preserve">Etablissement public du Marais poitevin</t>
  </si>
  <si>
    <t xml:space="preserve">FEI – France éducation international</t>
  </si>
  <si>
    <t xml:space="preserve">FNAP - Fonds national des aides à la pierre</t>
  </si>
  <si>
    <t xml:space="preserve">France Compétences</t>
  </si>
  <si>
    <t xml:space="preserve">France Travail</t>
  </si>
  <si>
    <t xml:space="preserve">FranceAgriMer</t>
  </si>
  <si>
    <t xml:space="preserve">GENES - Groupe des écoles nationales d'économie et statistique</t>
  </si>
  <si>
    <t xml:space="preserve">Génopole</t>
  </si>
  <si>
    <t xml:space="preserve">GEODERIS</t>
  </si>
  <si>
    <t xml:space="preserve">GIP - BIO - Agence française pour le développement et la promotion de l'agriculture biologique</t>
  </si>
  <si>
    <t xml:space="preserve">GIP Les entreprises s'engagent</t>
  </si>
  <si>
    <t xml:space="preserve">GIP Plateforme de l'inclusion</t>
  </si>
  <si>
    <t xml:space="preserve">Grande Chancellerie de la Légion d'Honneur</t>
  </si>
  <si>
    <t xml:space="preserve">Groupe Mines Télécom</t>
  </si>
  <si>
    <t xml:space="preserve">IERDJ - Institut des études et de la recherche sur le droit et la justice</t>
  </si>
  <si>
    <t xml:space="preserve">IFCE - Institut français du cheval et de l'équitation</t>
  </si>
  <si>
    <t xml:space="preserve">IFPEN - IFP Energies Nouvelles</t>
  </si>
  <si>
    <t xml:space="preserve">IFREMER - Institut français de recherche pour l'exploitation de la mer</t>
  </si>
  <si>
    <t xml:space="preserve">IGN - Institut national de l'information géographique et forestière</t>
  </si>
  <si>
    <t xml:space="preserve">IHEDN - Institut des hautes études de Défense nationale</t>
  </si>
  <si>
    <t xml:space="preserve">INAO - Institut national de l'origine et de la qualité</t>
  </si>
  <si>
    <t xml:space="preserve">INCa - Institut National du Cancer</t>
  </si>
  <si>
    <t xml:space="preserve">INED - Institut national d'études démographiques</t>
  </si>
  <si>
    <t xml:space="preserve">INERIS - Institut national de l'environnement industriel et des risques</t>
  </si>
  <si>
    <t xml:space="preserve">INFOMA - Institut national de formation des personnels du ministère de l'agriculture</t>
  </si>
  <si>
    <t xml:space="preserve">INI - Institution nationale des Invalides</t>
  </si>
  <si>
    <t xml:space="preserve">INP - Institut national du patrimoine</t>
  </si>
  <si>
    <t xml:space="preserve">INPI - Institut national de la propriété industrielle</t>
  </si>
  <si>
    <t xml:space="preserve">INRAE - Institut national pour la recherche en agriculture, alimentation et environnement</t>
  </si>
  <si>
    <t xml:space="preserve">INRAP - Institut national de recherches archéologiques préventives</t>
  </si>
  <si>
    <t xml:space="preserve">INRIA - Institut national de recherche en informatique et en automatique</t>
  </si>
  <si>
    <t xml:space="preserve">INSEP - Institut national du sport, de l'expertise et de la performance</t>
  </si>
  <si>
    <t xml:space="preserve">INSERM - Institut national de la santé et de la recherche médicale</t>
  </si>
  <si>
    <t xml:space="preserve">INSP - Institut national du service public</t>
  </si>
  <si>
    <t xml:space="preserve">Institut Français</t>
  </si>
  <si>
    <t xml:space="preserve">INTEFP - Institut national du travail, de l'emploi et de la formation professionnelle</t>
  </si>
  <si>
    <t xml:space="preserve">IPEV - Institut polaire français Paul-Emile Victor</t>
  </si>
  <si>
    <t xml:space="preserve">IPP - Institut Polytechnique de Paris</t>
  </si>
  <si>
    <t xml:space="preserve">IRA - Instituts régionaux d'administration</t>
  </si>
  <si>
    <t xml:space="preserve">IRD - Institut de recherche pour le développement</t>
  </si>
  <si>
    <t xml:space="preserve">ISAE - Institut supérieur de l'aéronautique et de l'espace</t>
  </si>
  <si>
    <t xml:space="preserve">LADOM - L'agence de l'Outre-mer pour la mobilité</t>
  </si>
  <si>
    <t xml:space="preserve">LNE - Laboratoire national de métrologie et d'essais</t>
  </si>
  <si>
    <t xml:space="preserve">Manufactures nationales, Mobilier-Sèvres</t>
  </si>
  <si>
    <t xml:space="preserve">Météo-France</t>
  </si>
  <si>
    <t xml:space="preserve">MNS - Musée national du sport</t>
  </si>
  <si>
    <t xml:space="preserve">MuCEM - Musée des civilisations de l'Europe et de la Méditerranée</t>
  </si>
  <si>
    <t xml:space="preserve">Musée d'Orsay et musée de l'Orangerie</t>
  </si>
  <si>
    <t xml:space="preserve">Musée de l'air et de l'espace</t>
  </si>
  <si>
    <t xml:space="preserve">Musée de l'armée</t>
  </si>
  <si>
    <t xml:space="preserve">Musée des arts décoratifs</t>
  </si>
  <si>
    <t xml:space="preserve">Musée du Louvre</t>
  </si>
  <si>
    <t xml:space="preserve">Musée Guimet</t>
  </si>
  <si>
    <t xml:space="preserve">Musée Henner-Moreau</t>
  </si>
  <si>
    <t xml:space="preserve">Musée national de la marine</t>
  </si>
  <si>
    <t xml:space="preserve">Musée Picasso</t>
  </si>
  <si>
    <t xml:space="preserve">ODEADOM - Office de développement de l'économie agricole d'Outre-mer</t>
  </si>
  <si>
    <t xml:space="preserve">OFB - Office français de la biodiversité</t>
  </si>
  <si>
    <t xml:space="preserve">OFDT - Observatoire Français des Drogues et des Tendances addictives</t>
  </si>
  <si>
    <t xml:space="preserve">OFII - Office français de l'immigration et de l'intégration</t>
  </si>
  <si>
    <t xml:space="preserve">OFPRA - Office français de protection des réfugiés et apatrides</t>
  </si>
  <si>
    <t xml:space="preserve">ONaCVG - Office nationale des combattants et victimes de guerre</t>
  </si>
  <si>
    <t xml:space="preserve">ONERA - Office national d'études et de recherches aérospatiales</t>
  </si>
  <si>
    <t xml:space="preserve">ONF - Office national des forêts</t>
  </si>
  <si>
    <t xml:space="preserve">ONISEP - Office national d'information sur les enseignements et les professions</t>
  </si>
  <si>
    <t xml:space="preserve">Opéra comique</t>
  </si>
  <si>
    <t xml:space="preserve">Opéra national de Paris</t>
  </si>
  <si>
    <t xml:space="preserve">Opérateurs de soutien à l'enseignement supérieur et à la recherche</t>
  </si>
  <si>
    <t xml:space="preserve">OPPIC - Opérateur du patrimoine et des projets immobiliers de la Culture</t>
  </si>
  <si>
    <t xml:space="preserve">Ordre de la Libération - Conseil National des communes « Compagnons de la libération »</t>
  </si>
  <si>
    <t xml:space="preserve">Parcs nationaux</t>
  </si>
  <si>
    <t xml:space="preserve">Pass Culture</t>
  </si>
  <si>
    <t xml:space="preserve">Réseau Canopé</t>
  </si>
  <si>
    <t xml:space="preserve">Réseau des œuvres universitaires et scolaires</t>
  </si>
  <si>
    <t xml:space="preserve">Rmn-GP - Réunion des musées nationaux - Grand Palais</t>
  </si>
  <si>
    <t xml:space="preserve">SGP - Société des grands projets</t>
  </si>
  <si>
    <t xml:space="preserve">SHOM - Service hydrographique et océanographique de la marine</t>
  </si>
  <si>
    <t xml:space="preserve">SOLIDEO Alpes 2030</t>
  </si>
  <si>
    <t xml:space="preserve">TNC - Théâtre national de la Colline</t>
  </si>
  <si>
    <t xml:space="preserve">TNO - Théâtre national de l'Odéon</t>
  </si>
  <si>
    <t xml:space="preserve">TNS - Théâtre national de Strasbourg</t>
  </si>
  <si>
    <t xml:space="preserve">Universcience</t>
  </si>
  <si>
    <t xml:space="preserve">Universités et assimilés</t>
  </si>
  <si>
    <t xml:space="preserve">VNF - Voies navigables de France</t>
  </si>
  <si>
    <t xml:space="preserve">X - Ecole polytechnique</t>
  </si>
  <si>
    <t xml:space="preserve">Nb</t>
  </si>
  <si>
    <t xml:space="preserve">Opérateur déjà traité</t>
  </si>
  <si>
    <t xml:space="preserve">ODAC 2023 Insee 2025</t>
  </si>
  <si>
    <t xml:space="preserve">Fonction 1 : Services généraux des administrations publiques</t>
  </si>
  <si>
    <t xml:space="preserve">ADOM l'Agence de l'outre-mer pour la mobilité</t>
  </si>
  <si>
    <t xml:space="preserve">oui</t>
  </si>
  <si>
    <t xml:space="preserve">AFA Groupement d'intérêt public Agence française de l'adoption</t>
  </si>
  <si>
    <t xml:space="preserve">ANTS Agence nationale des titres sécurisés</t>
  </si>
  <si>
    <t xml:space="preserve">BPI_FSIPME FSI PME Portefeuille</t>
  </si>
  <si>
    <t xml:space="preserve">BPI_IC Bpifrance international capital</t>
  </si>
  <si>
    <t xml:space="preserve">BPI_PARTICIP Bpifrance Participations</t>
  </si>
  <si>
    <t xml:space="preserve">BRGM BRGM (Bureau de recherches géologiques et minières)</t>
  </si>
  <si>
    <t xml:space="preserve">CDAD GIP Conseil départemental de laccès au droit de la Lozère</t>
  </si>
  <si>
    <t xml:space="preserve">CDAD GIP Conseil départemental de l'accès au droit de la Réunion</t>
  </si>
  <si>
    <t xml:space="preserve">CDAD GIP Conseil départemental de l'accès au droit de l'Hérault</t>
  </si>
  <si>
    <t xml:space="preserve">CDAD GIP Conseil départemental de l'accès au droit de Lot-et-Garonne</t>
  </si>
  <si>
    <t xml:space="preserve">CDAD GIP Conseil départemental de l'accès au droit de Maine-et-Loire</t>
  </si>
  <si>
    <t xml:space="preserve">CDAD GIP Conseil départemental de laccès au droit de Paris</t>
  </si>
  <si>
    <t xml:space="preserve">CDAD GIP Conseil départemental de l'accès au droit de Vaucluse</t>
  </si>
  <si>
    <t xml:space="preserve">CDAD GIP Conseil départemental de l'accès au droit des Alpes de Haute-Provence</t>
  </si>
  <si>
    <t xml:space="preserve">CDAD GIP Conseil départemental de l'accès au droit des Alpes Maritimes</t>
  </si>
  <si>
    <t xml:space="preserve">CDAD GIP Conseil Départemental de l'accès au droit des Côtes d'Armor</t>
  </si>
  <si>
    <t xml:space="preserve">CDAD GIP Conseil départemental de l'accès au droit du Bas-Rhin</t>
  </si>
  <si>
    <t xml:space="preserve">CDAD GIP Conseil départemental de l'accès au droit du Pas-de-Calais</t>
  </si>
  <si>
    <t xml:space="preserve">CDAD GIP Conseil départemental de l'accès au droit du Val d'Oise</t>
  </si>
  <si>
    <t xml:space="preserve">CDAD Groupement dintérêt public Conseil départemental daccès au droit de la Loire- Atlantique</t>
  </si>
  <si>
    <t xml:space="preserve">CDAD Groupement d'intérêt public Conseil départemental de l'accès au droit de Corse-du-Sud</t>
  </si>
  <si>
    <t xml:space="preserve">CDAD Groupement d'intérêt public Conseil départemental de l'accès au droit de Dordogne</t>
  </si>
  <si>
    <t xml:space="preserve">CDAD Groupement d'intérêt public Conseil départemental de l'accès au droit de Haute Saone</t>
  </si>
  <si>
    <t xml:space="preserve">CDAD Groupement d'intérêt public Conseil départemental de l'accès au droit de Haute-Loire</t>
  </si>
  <si>
    <t xml:space="preserve">CDAD Groupement d'intérêt public Conseil départemental de l'accès au droit de la Charente</t>
  </si>
  <si>
    <t xml:space="preserve">CDAD Groupement d'intérêt public Conseil départemental de l'accès au droit de la Charente Maritime</t>
  </si>
  <si>
    <t xml:space="preserve">CDAD Groupement d'intérêt public Conseil départemental de l'accès au droit de la Corrèze</t>
  </si>
  <si>
    <t xml:space="preserve">CDAD Groupement d'intérêt public Conseil départemental de l'accès au droit de la Creuse</t>
  </si>
  <si>
    <t xml:space="preserve">CDAD Groupement d'intérêt public Conseil départemental de l'accès au droit de la Drôme</t>
  </si>
  <si>
    <t xml:space="preserve">CDAD Groupement d'intérêt public Conseil départemental de l'accès au droit de la Gironde</t>
  </si>
  <si>
    <t xml:space="preserve">CDAD Groupement d'intérêt public Conseil départemental de l'accès au droit de la Guyane</t>
  </si>
  <si>
    <t xml:space="preserve">CDAD Groupement d'intérêt public Conseil départemental de l'accès au droit de la Haute Corse</t>
  </si>
  <si>
    <t xml:space="preserve">CDAD Groupement d'intérêt public Conseil départemental de l'accès au droit de la Haute- Garonne</t>
  </si>
  <si>
    <t xml:space="preserve">CDAD Groupement d'intérêt public Conseil départemental de l'accès au droit de la Haute-Savoie</t>
  </si>
  <si>
    <t xml:space="preserve">CDAD Groupement d'intérêt public Conseil départemental de l'accès au droit de la Loire</t>
  </si>
  <si>
    <t xml:space="preserve">CDAD Groupement dintérêt public Conseil départemental de laccès au droit de la Martinique</t>
  </si>
  <si>
    <t xml:space="preserve">CDAD Groupement d'intérêt public Conseil départemental de l'accès au droit de la Meuse</t>
  </si>
  <si>
    <t xml:space="preserve">CDAD Groupement d'intérêt public Conseil départemental de l'accès au droit de la Moselle</t>
  </si>
  <si>
    <t xml:space="preserve">CDAD Groupement d'intérêt public Conseil départemental de l'accès au droit de la Nièvre</t>
  </si>
  <si>
    <t xml:space="preserve">CDAD Groupement d'intérêt public Conseil départemental de l'accès au droit de la Sarthe</t>
  </si>
  <si>
    <t xml:space="preserve">CDAD Groupement d'intérêt public Conseil départemental de l'accès au droit de la Savoie</t>
  </si>
  <si>
    <t xml:space="preserve">CDAD Groupement d'intérêt public Conseil départemental de l'accès au droit de la Somme</t>
  </si>
  <si>
    <t xml:space="preserve">CDAD Groupement d'intérêt public Conseil départemental de l'accès au droit de la Vienne</t>
  </si>
  <si>
    <t xml:space="preserve">CDAD Groupement d'intérêt public Conseil départemental de l'accès au droit de l'Ain</t>
  </si>
  <si>
    <t xml:space="preserve">CDAD Groupement d'intérêt public Conseil départemental de l'accès au droit de l'Aisne</t>
  </si>
  <si>
    <t xml:space="preserve">CDAD Groupement dintérêt public Conseil départemental de laccès au droit de lAllier</t>
  </si>
  <si>
    <t xml:space="preserve">CDAD Groupement d'intérêt public Conseil départemental de l'accès au droit de l'Ardèche</t>
  </si>
  <si>
    <t xml:space="preserve">CDAD Groupement d'intérêt public Conseil départemental de l'accès au droit de l'Ariège</t>
  </si>
  <si>
    <t xml:space="preserve">CDAD Groupement d'intérêt public Conseil départemental de l'accès au droit de l'Aube</t>
  </si>
  <si>
    <t xml:space="preserve">CDAD Groupement d'intérêt public Conseil départemental de l'accès au droit de l'Aude</t>
  </si>
  <si>
    <t xml:space="preserve">CDAD Groupement d'intérêt public Conseil départemental de l'accès au droit de l'Eure</t>
  </si>
  <si>
    <t xml:space="preserve">CDAD Groupement d'intérêt public Conseil départemental de l'accès au droit de l'Ille et Vilaine</t>
  </si>
  <si>
    <t xml:space="preserve">CDAD Groupement dintérêt public Conseil départemental de laccès au droit de lIndre</t>
  </si>
  <si>
    <t xml:space="preserve">CDAD Groupement d'intérêt public Conseil départemental de l'accès au droit de l'Isère</t>
  </si>
  <si>
    <t xml:space="preserve">CDAD Groupement d'intérêt public Conseil départemental de l'accès au droit de Loir-et- Cher</t>
  </si>
  <si>
    <t xml:space="preserve">CDAD Groupement dintérêt public Conseil départemental de laccès au droit de lOise</t>
  </si>
  <si>
    <t xml:space="preserve">CDAD Groupement d'intérêt public Conseil départemental de l'accès au droit de l'Orne</t>
  </si>
  <si>
    <t xml:space="preserve">CDAD Groupement d'intérêt public Conseil départemental de l'accès au droit de Mayenne</t>
  </si>
  <si>
    <t xml:space="preserve">CDAD Groupement d'intérêt public Conseil départemental de l'accès au droit de Mayotte</t>
  </si>
  <si>
    <t xml:space="preserve">CDAD Groupement d'intérêt public Conseil départemental de l'accès au droit de Meurthe-et-Moselle</t>
  </si>
  <si>
    <t xml:space="preserve">CDAD Groupement d'intérêt public Conseil départemental de l'accès au droit de Saint-Barthélemy - Saint Martin</t>
  </si>
  <si>
    <t xml:space="preserve">CDAD Groupement d'intérêt public Conseil départemental de l'accès au droit de Saône-et-Loire</t>
  </si>
  <si>
    <t xml:space="preserve">CDAD Groupement d'intérêt public Conseil départemental de l'accès au droit de Seine-Maritime</t>
  </si>
  <si>
    <t xml:space="preserve">CDAD Groupement d'intérêt public Conseil départemental de l'accès au droit de Seine-Saint-Denis</t>
  </si>
  <si>
    <t xml:space="preserve">CDAD Groupement d'intérêt public Conseil départemental de l'accès au droit de Tarn-et- Garonne</t>
  </si>
  <si>
    <t xml:space="preserve">CDAD Groupement d'intérêt public Conseil départemental de l'accès au droit de Vendée</t>
  </si>
  <si>
    <t xml:space="preserve">CDAD Groupement d'intérêt public Conseil départemental de l'accès au droit des Alpes Maritimes</t>
  </si>
  <si>
    <t xml:space="preserve">CDAD Groupement d'intérêt public Conseil départemental de l'accès au droit des Bouches du Rhone</t>
  </si>
  <si>
    <t xml:space="preserve">CDAD Groupement d'intérêt public Conseil départemental de l'accès au droit des Deux-Sèvres</t>
  </si>
  <si>
    <t xml:space="preserve">CDAD Groupement d'intérêt public Conseil départemental de l'accès au droit des Hautes-Alpes</t>
  </si>
  <si>
    <t xml:space="preserve">CDAD Groupement d'intérêt public Conseil départemental de l'accès au droit des Hautes-Pyrénées</t>
  </si>
  <si>
    <t xml:space="preserve">CDAD Groupement d'intérêt public Conseil départemental de l'accès au droit des Landes</t>
  </si>
  <si>
    <t xml:space="preserve">CDAD Groupement d'intérêt public Conseil départemental de l'accès au droit des Pyrénées-Atlantiques</t>
  </si>
  <si>
    <t xml:space="preserve">CDAD Groupement d'intérêt public Conseil départemental de l'accès au droit des Pyrénées-Orientales</t>
  </si>
  <si>
    <t xml:space="preserve">CDAD Groupement d'intérêt public Conseil départemental de l'accès au droit des Yvelines</t>
  </si>
  <si>
    <t xml:space="preserve">CDAD Groupement d'intérêt public Conseil départemental de l'accès au droit d'Indre-et-Loire</t>
  </si>
  <si>
    <t xml:space="preserve">CDAD Groupement d'intérêt public Conseil départemental de l'accès au droit du Calvados</t>
  </si>
  <si>
    <t xml:space="preserve">CDAD Groupement d'intérêt public Conseil départemental de l'accès au droit du Cantal</t>
  </si>
  <si>
    <t xml:space="preserve">CDAD Groupement dintérêt public Conseil départemental de laccès au droit du Cher</t>
  </si>
  <si>
    <t xml:space="preserve">CDAD Groupement d'intérêt public Conseil départemental de l'accès au droit du Doubs</t>
  </si>
  <si>
    <t xml:space="preserve">CDAD Groupement d'intérêt public Conseil départemental de l'accès au droit du Finistère</t>
  </si>
  <si>
    <t xml:space="preserve">CDAD Groupement d'intérêt public Conseil départemental de l'accès au droit du Gard</t>
  </si>
  <si>
    <t xml:space="preserve">CDAD Groupement d'intérêt public Conseil départemental de l'accès au droit du Gers</t>
  </si>
  <si>
    <t xml:space="preserve">CDAD Groupement d'intérêt public Conseil départemental de l'accès au droit du Jura</t>
  </si>
  <si>
    <t xml:space="preserve">CDAD Groupement d'intérêt public Conseil départemental de l'accès au droit du Loiret</t>
  </si>
  <si>
    <t xml:space="preserve">CDAD Groupement d'intérêt public Conseil départemental de l'accès au droit du Morbihan</t>
  </si>
  <si>
    <t xml:space="preserve">CDAD Groupement d'intérêt public Conseil départemental de l'accès au droit du Nord</t>
  </si>
  <si>
    <t xml:space="preserve">CDAD Groupement d'intérêt public Conseil départemental de l'accès au droit du Puy-de- Dôme</t>
  </si>
  <si>
    <t xml:space="preserve">CDAD Groupement d'intérêt public Conseil départemental de l'accès au droit du Tarn</t>
  </si>
  <si>
    <t xml:space="preserve">CDAD Groupement d'intérêt public Conseil départemental de l'accès au droit du Territoire de Belfort</t>
  </si>
  <si>
    <t xml:space="preserve">CDAD Groupement d'intérêt public Conseil départemental de l'accès au droit du Val-de- Marne</t>
  </si>
  <si>
    <t xml:space="preserve">CDAD Groupement d'intérêt public Conseil départemental de l'accès au droit du Var</t>
  </si>
  <si>
    <t xml:space="preserve">CDP Caisse de la dette publique</t>
  </si>
  <si>
    <t xml:space="preserve">CINES Centre informatique national de l'enseignement supérieur</t>
  </si>
  <si>
    <t xml:space="preserve">CIVIQUE Groupement d'intérêt public Agence du service civique</t>
  </si>
  <si>
    <t xml:space="preserve">CNG Centre national de gestion des praticiens hospitaliers et des personnels de direction de la fonction publique hospitalière</t>
  </si>
  <si>
    <t xml:space="preserve">CNRS Centre national de la recherche scientifique</t>
  </si>
  <si>
    <t xml:space="preserve">COFRANCE Collège de France</t>
  </si>
  <si>
    <t xml:space="preserve">CSA Conseil supérieur de l'audiovisuel</t>
  </si>
  <si>
    <t xml:space="preserve">CYCERON centre d'imagerie cérébrale et de recherches en neuroscience</t>
  </si>
  <si>
    <t xml:space="preserve">FGAO fonds de garantie des assurances obligatoires de dommage</t>
  </si>
  <si>
    <t xml:space="preserve">FGTI fonds de garantie des victimes des actes de terrorisme et d'autres infractions</t>
  </si>
  <si>
    <t xml:space="preserve">FSD Fonds de solidarité pour le développement</t>
  </si>
  <si>
    <t xml:space="preserve">HONNEUR Grande chancellerie de la Légion dhonneur</t>
  </si>
  <si>
    <t xml:space="preserve">IFRTPE Groupement d'intérêt public Institut polaire français Paul-Emile Victor</t>
  </si>
  <si>
    <t xml:space="preserve">IGNF Institut national de linformation géographique et forestière</t>
  </si>
  <si>
    <t xml:space="preserve">IHESBY institut des hautes études scientifiques de Bures-sur-Yvette</t>
  </si>
  <si>
    <t xml:space="preserve">INED Institut national détudes démographiques</t>
  </si>
  <si>
    <t xml:space="preserve">INRAP Institut national de recherches archéologiques préventives</t>
  </si>
  <si>
    <t xml:space="preserve">INRIA Institut national de recherche en informatique et en automatique</t>
  </si>
  <si>
    <t xml:space="preserve">IRD Institut de recherche pour le développement</t>
  </si>
  <si>
    <t xml:space="preserve">LIBERATION Conseil national des communes Compagnon de la Libération</t>
  </si>
  <si>
    <t xml:space="preserve">MRDJ mission de recherche droit et justice</t>
  </si>
  <si>
    <t xml:space="preserve">MSH fondation maison des sciences de l'homme</t>
  </si>
  <si>
    <t xml:space="preserve">OBPA Observatoire de Paris</t>
  </si>
  <si>
    <t xml:space="preserve">OCA Observatoire de la Côte-d'Azur</t>
  </si>
  <si>
    <t xml:space="preserve">OFFPRA Office français de protection des réfugiés et apatrides</t>
  </si>
  <si>
    <t xml:space="preserve">OFII Office français de l’immigration et de l’intégration</t>
  </si>
  <si>
    <t xml:space="preserve">SPPE Société de prise de participations de l'Etat</t>
  </si>
  <si>
    <t xml:space="preserve">Fonction 2 : Défense</t>
  </si>
  <si>
    <t xml:space="preserve">ECPAD Etablissement de communication et de production audiovisuelle de la défense</t>
  </si>
  <si>
    <t xml:space="preserve">ENSOSP Ecole nationale supérieure des officiers de Sapeurs-Pompiers</t>
  </si>
  <si>
    <t xml:space="preserve">IHEDN Institut des hautes études de défense nationale</t>
  </si>
  <si>
    <t xml:space="preserve">ISL institut franco allemand de recherches de Saint-Louis</t>
  </si>
  <si>
    <t xml:space="preserve">SHOM Etablissement public administratif Service hydrographique et océanographique de la marine</t>
  </si>
  <si>
    <t xml:space="preserve">Fonction 3 : Ordre et sécurité publics</t>
  </si>
  <si>
    <t xml:space="preserve">ACMOSS Agence des communications mobiles opérationnelles de sécurité et de secours</t>
  </si>
  <si>
    <t xml:space="preserve">AGRASC Agence de gestion et de recouvrement des avoirs saisis et confisqués</t>
  </si>
  <si>
    <t xml:space="preserve">ANTAI Agence nationale de traitement automatisé des infractions</t>
  </si>
  <si>
    <t xml:space="preserve">APIJ Agence publique pour limmobilier de la justice</t>
  </si>
  <si>
    <t xml:space="preserve">CNAPS Conseil national des activités privées de sécurité</t>
  </si>
  <si>
    <t xml:space="preserve">Fonction 4 : Affaires économiques</t>
  </si>
  <si>
    <t xml:space="preserve">ACTA association de coordination des techniques agricoles</t>
  </si>
  <si>
    <t xml:space="preserve">ACTIA association de coordination techniques pour l'industrie agro-alimentaire</t>
  </si>
  <si>
    <t xml:space="preserve">ADEME Agence de l'environnement et de la maîtrise de l'énergie</t>
  </si>
  <si>
    <t xml:space="preserve">AFDPAB Groupement d'intérêt public Agence française pour le développement et la promotion de l'agriculture biologique</t>
  </si>
  <si>
    <t xml:space="preserve">AFITF Agence de financement des infrastructures de transport de France</t>
  </si>
  <si>
    <t xml:space="preserve">AMF Autorité des marchés financiers</t>
  </si>
  <si>
    <t xml:space="preserve">ANACT Agence nationale pour lamélioration des conditions de travail</t>
  </si>
  <si>
    <t xml:space="preserve">ANF Agence nationale des fréquences</t>
  </si>
  <si>
    <t xml:space="preserve">ANR Agence nationale de la recherche</t>
  </si>
  <si>
    <t xml:space="preserve">ARAF Autorité de régulation des transports</t>
  </si>
  <si>
    <t xml:space="preserve">ARPE Autorité des Relations sociales des Plateformes d’Emploi</t>
  </si>
  <si>
    <t xml:space="preserve">ASIP Groupement dintérêt public Agence du numérique en santé (ANS)</t>
  </si>
  <si>
    <t xml:space="preserve">ASP Agence de services et de paiement</t>
  </si>
  <si>
    <t xml:space="preserve">BPI_AE Bpifrance Assurance Export</t>
  </si>
  <si>
    <t xml:space="preserve">BPI_EPIC EPIC BPIFRANCE</t>
  </si>
  <si>
    <t xml:space="preserve">BPI_INVEST Bpifrance Investissement</t>
  </si>
  <si>
    <t xml:space="preserve">BUSINESS_FRANCE Business France</t>
  </si>
  <si>
    <t xml:space="preserve">CDGX Gestionnaire d'infrastructures CDG-Express</t>
  </si>
  <si>
    <t xml:space="preserve">CDR consortium de réalisation</t>
  </si>
  <si>
    <t xml:space="preserve">CEA commissariat à l'énergie atomique</t>
  </si>
  <si>
    <t xml:space="preserve">CEPREMAP centre pour la recherche économique et ses applications</t>
  </si>
  <si>
    <t xml:space="preserve">CIRAD centre de coopération internationale en recherche agronomique</t>
  </si>
  <si>
    <t xml:space="preserve">CNA Caisse nationale des autoroutes</t>
  </si>
  <si>
    <t xml:space="preserve">CNES Centre national détudes spatiales</t>
  </si>
  <si>
    <t xml:space="preserve">CPSSP Comité professionnel des stocks stratégiques pétroliers</t>
  </si>
  <si>
    <t xml:space="preserve">EPSF Etablissement public de sécurité ferroviaire</t>
  </si>
  <si>
    <t xml:space="preserve">FCOMPET France Compétences</t>
  </si>
  <si>
    <t xml:space="preserve">FGDR Fonds de garantie des dépôts et de résolution</t>
  </si>
  <si>
    <t xml:space="preserve">FRANCE_AGRIMER Etablissement national des produits de l'agriculture et de la mer</t>
  </si>
  <si>
    <t xml:space="preserve">H3C Haut-Conseil du commissariat aux comptes</t>
  </si>
  <si>
    <t xml:space="preserve">HCERES Haut Conseil de l'évaluation de la recherche et de l'enseignement supérieur</t>
  </si>
  <si>
    <t xml:space="preserve">IFCE Institut français du cheval et de l'équitation</t>
  </si>
  <si>
    <t xml:space="preserve">IFPEN institut français du pétrole</t>
  </si>
  <si>
    <t xml:space="preserve">IFREMER Institut français de recherche pour l'exploitation de la mer</t>
  </si>
  <si>
    <t xml:space="preserve">INAO Institut national de l'origine et de la qualité</t>
  </si>
  <si>
    <t xml:space="preserve">INFFO centre pour le développement de l'information sur la formation permanente</t>
  </si>
  <si>
    <t xml:space="preserve">INPI Institut national de la propriété industrielle</t>
  </si>
  <si>
    <t xml:space="preserve">INRA Institut national de recherche pour l'agriculture, l'alimentation et l'environnement</t>
  </si>
  <si>
    <t xml:space="preserve">INTEFP Institut national du travail, de l'emploi et de la formation professionnelle</t>
  </si>
  <si>
    <t xml:space="preserve">METEO Météo-France</t>
  </si>
  <si>
    <t xml:space="preserve">MNE Médiateur national de l'énergie</t>
  </si>
  <si>
    <t xml:space="preserve">ODEADOM Office de développement de l'économie agricole d'outre-mer</t>
  </si>
  <si>
    <t xml:space="preserve">ONERA Office national détudes et de recherches aérospatiales</t>
  </si>
  <si>
    <t xml:space="preserve">OPCO Akto</t>
  </si>
  <si>
    <t xml:space="preserve">OPCO Atlas</t>
  </si>
  <si>
    <t xml:space="preserve">OPCO Constructys</t>
  </si>
  <si>
    <t xml:space="preserve">OPCO L'Opcommerce</t>
  </si>
  <si>
    <t xml:space="preserve">OPCO Ocapiat</t>
  </si>
  <si>
    <t xml:space="preserve">OPCO Opco EP</t>
  </si>
  <si>
    <t xml:space="preserve">OPCO Opco Mobilités</t>
  </si>
  <si>
    <t xml:space="preserve">OPCO Opco Santé</t>
  </si>
  <si>
    <t xml:space="preserve">OPCO Opco2i</t>
  </si>
  <si>
    <t xml:space="preserve">OPCO Uniformation</t>
  </si>
  <si>
    <t xml:space="preserve">OPCO Afdas</t>
  </si>
  <si>
    <t xml:space="preserve">PPLE Groupement d'intérêt public Portail d'accès à la publicité légale des entreprises</t>
  </si>
  <si>
    <t xml:space="preserve">SAGESS Société anonyme de gestion de stocks de sécurité</t>
  </si>
  <si>
    <t xml:space="preserve">SGFGAS Société de Gestion du Fonds de Garantie de l'Accession Sociale à la propriété</t>
  </si>
  <si>
    <t xml:space="preserve">SNCFR SNCF RÉSEAU</t>
  </si>
  <si>
    <t xml:space="preserve">TELT Tunnel euroalpin Lyon Turin SAS</t>
  </si>
  <si>
    <t xml:space="preserve">VNF Voies navigables de France</t>
  </si>
  <si>
    <t xml:space="preserve">Fonction 5 : Protection de l’environnement</t>
  </si>
  <si>
    <t xml:space="preserve">CALANQUES Parc national des Calanques</t>
  </si>
  <si>
    <t xml:space="preserve">CELRL Conservatoire de l'espace littoral et des rivages lacustres</t>
  </si>
  <si>
    <t xml:space="preserve">CEREMA Centre d’études et d’expertise sur les risques, l’environnement, la mobilité et l’aménagement</t>
  </si>
  <si>
    <t xml:space="preserve">CEVENNES Parc national des Cévennes</t>
  </si>
  <si>
    <t xml:space="preserve">CROS Parc national de Port-Cros</t>
  </si>
  <si>
    <t xml:space="preserve">ECOFOR Groupement d'intérêt public Ecosystèmes forestiers</t>
  </si>
  <si>
    <t xml:space="preserve">ECRINS Parc national des Ecrins</t>
  </si>
  <si>
    <t xml:space="preserve">GUADE Parc national de la Guadeloupe</t>
  </si>
  <si>
    <t xml:space="preserve">GUYANE Parc amazonien de Guyane</t>
  </si>
  <si>
    <t xml:space="preserve">INERIS Institut national de l'environnement industriel et des risques</t>
  </si>
  <si>
    <t xml:space="preserve">MERCANTO Parc national du Mercantour</t>
  </si>
  <si>
    <t xml:space="preserve">OFB Office français de la biodiversité</t>
  </si>
  <si>
    <t xml:space="preserve">PNF Parc national de forêts</t>
  </si>
  <si>
    <t xml:space="preserve">PNR Parc national de la Réunion</t>
  </si>
  <si>
    <t xml:space="preserve">PYRENEES Parc national des Pyrénées</t>
  </si>
  <si>
    <t xml:space="preserve">VANOISE Parc national de la Vanoise</t>
  </si>
  <si>
    <t xml:space="preserve">Fonction 6 : Logement et équipements collectifs</t>
  </si>
  <si>
    <t xml:space="preserve">ALS Action logement services</t>
  </si>
  <si>
    <t xml:space="preserve">ANAH Agence nationale de lhabitat</t>
  </si>
  <si>
    <t xml:space="preserve">ANRU Agence nationale pour la rénovation urbaine</t>
  </si>
  <si>
    <t xml:space="preserve">CGLLS Caisse de garantie du logement locatif social</t>
  </si>
  <si>
    <t xml:space="preserve">FNAP Fonds national des aides à la pierre</t>
  </si>
  <si>
    <t xml:space="preserve">FNAVDL Fonds national d'accompagnement vers et dans le logement</t>
  </si>
  <si>
    <t xml:space="preserve">Fonction 7 : Santé</t>
  </si>
  <si>
    <t xml:space="preserve">AASPEG Groupement d'intérêt public Réseau addictions Guadeloupe</t>
  </si>
  <si>
    <t xml:space="preserve">ABM Agence de la Biomédecine</t>
  </si>
  <si>
    <t xml:space="preserve">AFLD Agence française de lutte contre le dopage</t>
  </si>
  <si>
    <t xml:space="preserve">AFSSPS Agence nationale de sécurité du médicament et des produits de santé</t>
  </si>
  <si>
    <t xml:space="preserve">ANAP GIP Agence nationale d'appui à la performance des établissements de santé et médicosociaux et du travail</t>
  </si>
  <si>
    <t xml:space="preserve">ANSES Agence nationale chargée de la sécurité sanitaire, de l'alimentation, de l'environnement</t>
  </si>
  <si>
    <t xml:space="preserve">ARS Agence régionale de santé Auvergne-Rhône-Alpes</t>
  </si>
  <si>
    <t xml:space="preserve">ARS Agence régionale de santé Bourgogne-Franche-Comté</t>
  </si>
  <si>
    <t xml:space="preserve">ARS Agence régionale de santé de Bretagne</t>
  </si>
  <si>
    <t xml:space="preserve">ARS Agence régionale de santé de Corse</t>
  </si>
  <si>
    <t xml:space="preserve">ARS Agence régionale de santé de Guyane</t>
  </si>
  <si>
    <t xml:space="preserve">ARS Agence régionale de santé de la Guadeloupe, de Saint-Martin et de Saint-Barthélémy</t>
  </si>
  <si>
    <t xml:space="preserve">ARS Agence Régionale de Santé de la Réunion</t>
  </si>
  <si>
    <t xml:space="preserve">ARS Agence régionale de santé de Martinique</t>
  </si>
  <si>
    <t xml:space="preserve">ARS Agence Régionale de Santé de Mayotte</t>
  </si>
  <si>
    <t xml:space="preserve">ARS Agence régionale de santé de Provence-Alpes- Côte d'Azur</t>
  </si>
  <si>
    <t xml:space="preserve">ARS Agence régionale de santé des Pays-de-la-Loire</t>
  </si>
  <si>
    <t xml:space="preserve">ARS Agence régionale de santé dIle-de-France</t>
  </si>
  <si>
    <t xml:space="preserve">ARS Agence régionale de santé du Centre - Val de Loire</t>
  </si>
  <si>
    <t xml:space="preserve">ARS Agence régionale de santé Grand Est</t>
  </si>
  <si>
    <t xml:space="preserve">ARS Agence régionale de santé Hauts-de-France</t>
  </si>
  <si>
    <t xml:space="preserve">ARS Agence régionale de santé Normandie</t>
  </si>
  <si>
    <t xml:space="preserve">ARS Agence régionale de santé Nouvelle-Aquitaine</t>
  </si>
  <si>
    <t xml:space="preserve">ARS Agence régionale de santé Occitanie</t>
  </si>
  <si>
    <t xml:space="preserve">CEDERNU_LYON Groupement dintérêt public Centre de recherches en nutrition humaine Rhône-Alpes</t>
  </si>
  <si>
    <t xml:space="preserve">CNMPF conféderation nationale du mouvement pour le planing familial</t>
  </si>
  <si>
    <t xml:space="preserve">CPP Comité de protection des personnes Est I</t>
  </si>
  <si>
    <t xml:space="preserve">CPP Comité de protection des personnes Est II</t>
  </si>
  <si>
    <t xml:space="preserve">CPP Comité de protection des personnes Est III</t>
  </si>
  <si>
    <t xml:space="preserve">CPP Comité de protection des personnes Est IV</t>
  </si>
  <si>
    <t xml:space="preserve">CPP Comité de protection des personnes Ile-de-France I</t>
  </si>
  <si>
    <t xml:space="preserve">CPP Comité de protection des personnes Ile-de-France II</t>
  </si>
  <si>
    <t xml:space="preserve">CPP Comité de protection des personnes Ile-de-France III</t>
  </si>
  <si>
    <t xml:space="preserve">CPP Comité de protection des personnes Ile-de-France IV</t>
  </si>
  <si>
    <t xml:space="preserve">CPP Comité de protection des personnes Ile-de-France V</t>
  </si>
  <si>
    <t xml:space="preserve">CPP Comité de protection des personnes Ile-de-France VI</t>
  </si>
  <si>
    <t xml:space="preserve">CPP Comité de protection des personnes Ile-de-France VII</t>
  </si>
  <si>
    <t xml:space="preserve">CPP Comité de protection des personnes Ile-de-France VIII</t>
  </si>
  <si>
    <t xml:space="preserve">CPP Comité de protection des personnes Ile-de-France X</t>
  </si>
  <si>
    <t xml:space="preserve">CPP Comité de protection des personnes Ile-de-France XI</t>
  </si>
  <si>
    <t xml:space="preserve">CPP Comité de protection des personnes Nord-ouest I</t>
  </si>
  <si>
    <t xml:space="preserve">CPP Comité de protection des personnes Nord-Ouest II</t>
  </si>
  <si>
    <t xml:space="preserve">CPP Comité de protection des personnes Nord-Ouest III</t>
  </si>
  <si>
    <t xml:space="preserve">CPP Comité de protection des personnes Nord-Ouest IV</t>
  </si>
  <si>
    <t xml:space="preserve">CPP Comité de protection des personnes Ouest I</t>
  </si>
  <si>
    <t xml:space="preserve">CPP Comité de protection des personnes Ouest II</t>
  </si>
  <si>
    <t xml:space="preserve">CPP Comité de protection des personnes Ouest III</t>
  </si>
  <si>
    <t xml:space="preserve">CPP Comité de protection des personnes Ouest IV</t>
  </si>
  <si>
    <t xml:space="preserve">CPP Comité de protection des personnes Ouest V</t>
  </si>
  <si>
    <t xml:space="preserve">CPP Comité de protection des personnes Ouest VI</t>
  </si>
  <si>
    <t xml:space="preserve">CPP Comité de protection des personnes Sud-Est I</t>
  </si>
  <si>
    <t xml:space="preserve">CPP Comité de protection des personnes Sud-Est II</t>
  </si>
  <si>
    <t xml:space="preserve">CPP Comité de protection des personnes Sud-Est III</t>
  </si>
  <si>
    <t xml:space="preserve">CPP Comité de protection des personnes Sud-Est IV</t>
  </si>
  <si>
    <t xml:space="preserve">CPP Comité de protection des personnes Sud-Est V</t>
  </si>
  <si>
    <t xml:space="preserve">CPP Comité de protection des personnes Sud-Est VI</t>
  </si>
  <si>
    <t xml:space="preserve">CPP Comité de protection des personnes Sud-Méditerranée I</t>
  </si>
  <si>
    <t xml:space="preserve">CPP Comité de protection des personnes Sud-Méditerranée II</t>
  </si>
  <si>
    <t xml:space="preserve">CPP Comité de protection des personnes Sud-Méditerranée III</t>
  </si>
  <si>
    <t xml:space="preserve">CPP Comité de protection des personnes Sud-Méditerranée IV</t>
  </si>
  <si>
    <t xml:space="preserve">CPP Comité de protection des personnes Sud-Méditerranée V</t>
  </si>
  <si>
    <t xml:space="preserve">CPP Comité de protection des personnes Sud-Ouest et outre- mer I</t>
  </si>
  <si>
    <t xml:space="preserve">CPP Comité de protection des personnes Sud-Ouest et outre- mer II</t>
  </si>
  <si>
    <t xml:space="preserve">CPP Comité de protection des personnes Sud-Ouest et outre mer III</t>
  </si>
  <si>
    <t xml:space="preserve">CPP Comité de protection des personnes Sud-Ouest et Outre- mer IV</t>
  </si>
  <si>
    <t xml:space="preserve">EFS Etablissement français du sang</t>
  </si>
  <si>
    <t xml:space="preserve">FEP GIP France enfance protégée</t>
  </si>
  <si>
    <t xml:space="preserve">HAS Haute autorité de santé</t>
  </si>
  <si>
    <t xml:space="preserve">INCA Groupement d'intérêt public Institut national du cancer</t>
  </si>
  <si>
    <t xml:space="preserve">INSERM INSERM - Institut national de la santé et de la recherche médicale</t>
  </si>
  <si>
    <t xml:space="preserve">IRSN Institut de radioprotection et de sûreté nucléaire</t>
  </si>
  <si>
    <t xml:space="preserve">MDA Groupement d'intérêt public Maison départementale des adolescents de la Vendée</t>
  </si>
  <si>
    <t xml:space="preserve">MDA Groupement d'intérêt public Maison départementale des adolescents de Loire-Atlantique</t>
  </si>
  <si>
    <t xml:space="preserve">MDA Groupement dintérêt public Maison des adolescents</t>
  </si>
  <si>
    <t xml:space="preserve">MDA Groupement d'intérêt public Maison des adolescents</t>
  </si>
  <si>
    <t xml:space="preserve">MDA groupement d'intérêt public Maison des adolescents de Vaucluse</t>
  </si>
  <si>
    <t xml:space="preserve">MDA Groupement d'intérêt public Maison des adolescents des Côtes d'Armor</t>
  </si>
  <si>
    <t xml:space="preserve">MDA Groupement d'intérêt public Maison des adolescents d'Ille et Vilaine</t>
  </si>
  <si>
    <t xml:space="preserve">ONDT GIP Observatoire français des drogues et des toxicomanies</t>
  </si>
  <si>
    <t xml:space="preserve">SANTE Agence nationale de santé publique</t>
  </si>
  <si>
    <t xml:space="preserve">Fonction 8 : Loisirs, culture et culte</t>
  </si>
  <si>
    <t xml:space="preserve">ABES Agence bibliographique de l'enseignement supérieur</t>
  </si>
  <si>
    <t xml:space="preserve">ACADE académie agriculture de France</t>
  </si>
  <si>
    <t xml:space="preserve">ACADE académie de chirurgie</t>
  </si>
  <si>
    <t xml:space="preserve">ACADE Académie de Marine</t>
  </si>
  <si>
    <t xml:space="preserve">ACADE académie de médecine</t>
  </si>
  <si>
    <t xml:space="preserve">ACADE académie de pharmacie</t>
  </si>
  <si>
    <t xml:space="preserve">ACADE académie des beaux arts</t>
  </si>
  <si>
    <t xml:space="preserve">ACADE academie des inscriptions et belles lettres</t>
  </si>
  <si>
    <t xml:space="preserve">ACADE académie des sciences</t>
  </si>
  <si>
    <t xml:space="preserve">ACADE Académie des sciences d'outre-mer</t>
  </si>
  <si>
    <t xml:space="preserve">ACADE academie des sciences morales et politiques</t>
  </si>
  <si>
    <t xml:space="preserve">ACADE Académie des technologies</t>
  </si>
  <si>
    <t xml:space="preserve">ACADE académie française</t>
  </si>
  <si>
    <t xml:space="preserve">ACADE académie véterinaire de France</t>
  </si>
  <si>
    <t xml:space="preserve">ACADE institut de France et fondations</t>
  </si>
  <si>
    <t xml:space="preserve">ACMISA GIP Action Culturelle en Milieu Scolaire d'Alsace</t>
  </si>
  <si>
    <t xml:space="preserve">AFIF association française du festival international du film</t>
  </si>
  <si>
    <t xml:space="preserve">ANS Agence nationale du sport</t>
  </si>
  <si>
    <t xml:space="preserve">ARMEE Musée de larmée</t>
  </si>
  <si>
    <t xml:space="preserve">ARTE ARTE France</t>
  </si>
  <si>
    <t xml:space="preserve">ASTP association pour le soutien du théâtre privé</t>
  </si>
  <si>
    <t xml:space="preserve">BNF Bibliothèque nationale de France</t>
  </si>
  <si>
    <t xml:space="preserve">BNUS Bibliothèque nationale et universitaire de Strasbourg</t>
  </si>
  <si>
    <t xml:space="preserve">BPI Bibliothèque publique d'information</t>
  </si>
  <si>
    <t xml:space="preserve">BRANLY Etablissement public du Musée du quai Branly-Jacques Chirac</t>
  </si>
  <si>
    <t xml:space="preserve">BULC Groupement dintérêt public Bibliothèque universitaire des langues et civilisations</t>
  </si>
  <si>
    <t xml:space="preserve">CFRANC Comédie-Française</t>
  </si>
  <si>
    <t xml:space="preserve">CGP Centre national d'art et de culture Georges Pompidou</t>
  </si>
  <si>
    <t xml:space="preserve">CHAILLOT Théâtre national de Chaillot</t>
  </si>
  <si>
    <t xml:space="preserve">CIDJ centre régional d'information et de documentation jeunesse de Bourgogne Franche Comté</t>
  </si>
  <si>
    <t xml:space="preserve">CIDJ centre régional d'information et de documentation jeunesse de Bretagne</t>
  </si>
  <si>
    <t xml:space="preserve">CIDJ centre régional d'information et de documentation jeunesse de Champagne-Ardenne</t>
  </si>
  <si>
    <t xml:space="preserve">CIDJ centre régional d'information et de documentation jeunesse de Guadeloupe</t>
  </si>
  <si>
    <t xml:space="preserve">CIDJ centre régional d'information et de documentation jeunesse de Guyane</t>
  </si>
  <si>
    <t xml:space="preserve">CIDJ centre régional d'information et de documentation jeunesse de la Nouvelle Aquitaine</t>
  </si>
  <si>
    <t xml:space="preserve">CIDJ centre régional d'information et de documentation jeunesse de La Réunion</t>
  </si>
  <si>
    <t xml:space="preserve">CIDJ centre régional d'information et de documentation jeunesse de Normandie Caen</t>
  </si>
  <si>
    <t xml:space="preserve">CIDJ centre régional d'information et de documentation jeunesse de Paris</t>
  </si>
  <si>
    <t xml:space="preserve">CIDJ centre régional d'information et de documentation jeunesse de Provence-Alpes-Côte d'Azur</t>
  </si>
  <si>
    <t xml:space="preserve">CIDJ centre régional d'information et de documentation jeunesse de Rhône Alpes</t>
  </si>
  <si>
    <t xml:space="preserve">CIDJ centre régional d'information et de documentation jeunesse de Seine-et-Marne</t>
  </si>
  <si>
    <t xml:space="preserve">CIDJ centre régional d'information et de documentation jeunesse des Hauts-de-France</t>
  </si>
  <si>
    <t xml:space="preserve">CIDJ centre régional d'information et de documentation jeunesse des Pays de Loire</t>
  </si>
  <si>
    <t xml:space="preserve">CIDJ centre régional d'information et de documentation jeunesse des Yvelines</t>
  </si>
  <si>
    <t xml:space="preserve">CIDJ centre régional d'information et de documentation jeunesse du Centre</t>
  </si>
  <si>
    <t xml:space="preserve">CIDJ centre régional d'information et de documentation jeunesse du Val d'Oise</t>
  </si>
  <si>
    <t xml:space="preserve">CIDJ centre régional d'information et de documentation jeunesse Occitanie</t>
  </si>
  <si>
    <t xml:space="preserve">CIFRA cinémathèque française</t>
  </si>
  <si>
    <t xml:space="preserve">CITEMUSI Etablissement public de la Cité de la musique - Philharmonie de Paris</t>
  </si>
  <si>
    <t xml:space="preserve">CNAP Centre national des arts plastiques</t>
  </si>
  <si>
    <t xml:space="preserve">CNC Centre national du cinéma et de limage animée</t>
  </si>
  <si>
    <t xml:space="preserve">CND Centre national de la danse</t>
  </si>
  <si>
    <t xml:space="preserve">CNHI Etablissement public du palais de la Porte Dorée</t>
  </si>
  <si>
    <t xml:space="preserve">CNL Centre national du livre</t>
  </si>
  <si>
    <t xml:space="preserve">COLINE Théâtre national de la Colline</t>
  </si>
  <si>
    <t xml:space="preserve">COTRAVA cotravaux</t>
  </si>
  <si>
    <t xml:space="preserve">CTL Centre technique du livre de l'enseignement supérieur</t>
  </si>
  <si>
    <t xml:space="preserve">DAME Etablissement public chargé de la conservation et de la restauration de la cathédrale Notre-Dame de Paris</t>
  </si>
  <si>
    <t xml:space="preserve">EMN Établissement Public du Mobilier National</t>
  </si>
  <si>
    <t xml:space="preserve">EPPDCSI Etablissement public du palais de la Découverte et de la Cité des sciences et de l'industrie</t>
  </si>
  <si>
    <t xml:space="preserve">EPPGHV Etablissement public du parc et de la grande halle de la Villette</t>
  </si>
  <si>
    <t xml:space="preserve">ESPA Musée de l'air et de l'espace</t>
  </si>
  <si>
    <t xml:space="preserve">FDML Fonds de dotation du Musée du Louvre</t>
  </si>
  <si>
    <t xml:space="preserve">FONJEP fonds de coopération de la jeunesse et de l'éducation populaire</t>
  </si>
  <si>
    <t xml:space="preserve">FONTAINEBLEAU Etablissement public du château de Fontainebleau</t>
  </si>
  <si>
    <t xml:space="preserve">FRANCETELE France Télévision</t>
  </si>
  <si>
    <t xml:space="preserve">FRANCETELE France 2 cinéma</t>
  </si>
  <si>
    <t xml:space="preserve">FRANCETELE France 3 cinéma</t>
  </si>
  <si>
    <t xml:space="preserve">FRANCETELE France Télévisions Distribution</t>
  </si>
  <si>
    <t xml:space="preserve">FRANCETELE France Télévisions Gestion Immobilière</t>
  </si>
  <si>
    <t xml:space="preserve">FRANCETELE France Télévisions Publicité</t>
  </si>
  <si>
    <t xml:space="preserve">FRANCETELE France Télévisions Publicité Conseil</t>
  </si>
  <si>
    <t xml:space="preserve">FRANCETELE France Télévisions Publicité Inter Océan</t>
  </si>
  <si>
    <t xml:space="preserve">FRANCETELE France Télévisions SVOD</t>
  </si>
  <si>
    <t xml:space="preserve">FRANCETELE France.tvpresse</t>
  </si>
  <si>
    <t xml:space="preserve">FRANCETELE France.tvstudio</t>
  </si>
  <si>
    <t xml:space="preserve">FRANCETELE Les tontons truqueurs</t>
  </si>
  <si>
    <t xml:space="preserve">FRANCETELE Papangue Immo</t>
  </si>
  <si>
    <t xml:space="preserve">FRANCETELE Réseau Outre Mer 1</t>
  </si>
  <si>
    <t xml:space="preserve">FRANCETELE SCI France Télévisions</t>
  </si>
  <si>
    <t xml:space="preserve">FRANCETELE SCI VALIN</t>
  </si>
  <si>
    <t xml:space="preserve">FRANCETELE Société de gestion du réseau R1</t>
  </si>
  <si>
    <t xml:space="preserve">FRMEDIA_MONDE France média Monde</t>
  </si>
  <si>
    <t xml:space="preserve">GUIMET Etablissement public du musée des arts asiatiques Guimet</t>
  </si>
  <si>
    <t xml:space="preserve">HENNERMOREAU Etablissement public du musée national Jean-Jacques Henner et du Musée national</t>
  </si>
  <si>
    <t xml:space="preserve">Gustave Moreau</t>
  </si>
  <si>
    <t xml:space="preserve">ICS institut de la cinématographie scientifique</t>
  </si>
  <si>
    <t xml:space="preserve">IMA institut du monde arabe</t>
  </si>
  <si>
    <t xml:space="preserve">INA institut national de l'audiovisuel</t>
  </si>
  <si>
    <t xml:space="preserve">INSTITUT_FRANCAIS Institut français</t>
  </si>
  <si>
    <t xml:space="preserve">LOUVRE Etablissement public du musée du Louvre</t>
  </si>
  <si>
    <t xml:space="preserve">MARINE Musée national de la Marine</t>
  </si>
  <si>
    <t xml:space="preserve">MICHEL Etablissement public du Mont Saint Michel</t>
  </si>
  <si>
    <t xml:space="preserve">MNHN Muséum national d'histoire naturelle</t>
  </si>
  <si>
    <t xml:space="preserve">MNS Musée national du sport</t>
  </si>
  <si>
    <t xml:space="preserve">MUCEM Musée des civilisations de l'Europe et de la Méditerranée</t>
  </si>
  <si>
    <t xml:space="preserve">ODEON Théâtre national de lOdéon</t>
  </si>
  <si>
    <t xml:space="preserve">ONAIRAC Groupement d'intérêt public d'Onairac : Terre de vie, terres de vignes</t>
  </si>
  <si>
    <t xml:space="preserve">OPPIC Opérateur du patrimoine et des projets immobiliers de la culture</t>
  </si>
  <si>
    <t xml:space="preserve">ORCHESTR ensemble intercontemporain</t>
  </si>
  <si>
    <t xml:space="preserve">ORCHESTR ensemble orchestral de Paris</t>
  </si>
  <si>
    <t xml:space="preserve">ORCHESTR orchestre de Lille</t>
  </si>
  <si>
    <t xml:space="preserve">ORCHESTR orchestre de Montpellier Languedoc-Roussillon</t>
  </si>
  <si>
    <t xml:space="preserve">ORCHESTR orchestre d'Île-de-France</t>
  </si>
  <si>
    <t xml:space="preserve">ORCHESTR orchestre national de chambre de Toulouse</t>
  </si>
  <si>
    <t xml:space="preserve">ORCHESTR orchestre régional de Provence-Alpes-Côte d'Azur de Cannes</t>
  </si>
  <si>
    <t xml:space="preserve">PICASSO Musée national Picasso-Paris</t>
  </si>
  <si>
    <t xml:space="preserve">RADIOFR Radio France</t>
  </si>
  <si>
    <t xml:space="preserve">SEVRES_LIMOGES Etablissement public Cité de la céramique Sèvres et Limoges</t>
  </si>
  <si>
    <t xml:space="preserve">TNOC Théâtre national de l'Opéra-comique</t>
  </si>
  <si>
    <t xml:space="preserve">TNOP Opéra national de Paris</t>
  </si>
  <si>
    <t xml:space="preserve">TNS Théâtre national de Strasbourg</t>
  </si>
  <si>
    <t xml:space="preserve">TOKYO Association Palais de Tokyo</t>
  </si>
  <si>
    <t xml:space="preserve">TV5MONDE TV 5 Monde</t>
  </si>
  <si>
    <t xml:space="preserve">UCAD union centrale des arts décoratifs</t>
  </si>
  <si>
    <t xml:space="preserve">UNIF unifrance films</t>
  </si>
  <si>
    <t xml:space="preserve">Fonction 9 : Enseignement</t>
  </si>
  <si>
    <t xml:space="preserve">A2E2F Groupement d'intérêt public Agence Erasmus France/Education Formation</t>
  </si>
  <si>
    <t xml:space="preserve">AEFE Agence pour l'enseignement français à l'étranger</t>
  </si>
  <si>
    <t xml:space="preserve">AFDET association française pour le développement de l'enseignement technique</t>
  </si>
  <si>
    <t xml:space="preserve">AGRO Institut national d'enseignement supérieur pour l'agriculture, l'alimentation et l'environnement (INESAAE)</t>
  </si>
  <si>
    <t xml:space="preserve">AMUEPE GIP Ag. de mutualisation des univers. et des étab. d'enseig sup. ou de rech. et de support à l'enseign. sup. ou à la re</t>
  </si>
  <si>
    <t xml:space="preserve">ANSC Agence du numérique de la sécurité civile</t>
  </si>
  <si>
    <t xml:space="preserve">ARSON Villa Arson</t>
  </si>
  <si>
    <t xml:space="preserve">C2RP GIP Centre régional de ressources pédagogiques et de développement de la qualité de la formation</t>
  </si>
  <si>
    <t xml:space="preserve">CAMJUSS Etablissement public d'aménagement universitaire de la région Ile-de-France</t>
  </si>
  <si>
    <t xml:space="preserve">CAMPUS_FRANCE Campus France</t>
  </si>
  <si>
    <t xml:space="preserve">CEREQ Centre d'études et de recherches sur les qualifications</t>
  </si>
  <si>
    <t xml:space="preserve">CHANCEL Chancellerie des universités de Paris</t>
  </si>
  <si>
    <t xml:space="preserve">CHAPTAL fondation Léonie Chaptal</t>
  </si>
  <si>
    <t xml:space="preserve">CIEP Centre international d'études pédagogiques</t>
  </si>
  <si>
    <t xml:space="preserve">CNDP Réseau Canopé</t>
  </si>
  <si>
    <t xml:space="preserve">CNED Centre national d'enseignement à distance</t>
  </si>
  <si>
    <t xml:space="preserve">CNM Centre national de la musique</t>
  </si>
  <si>
    <t xml:space="preserve">COMUE COMUE Angers - Le Mans</t>
  </si>
  <si>
    <t xml:space="preserve">COMUE COMUE HESAM Université</t>
  </si>
  <si>
    <t xml:space="preserve">COMUE COMUE Normandie Université</t>
  </si>
  <si>
    <t xml:space="preserve">COMUE COMUE université Bourgogne - Franche-Comté</t>
  </si>
  <si>
    <t xml:space="preserve">COMUE COMUE Université de Lyon</t>
  </si>
  <si>
    <t xml:space="preserve">COMUE COMUE Université fédérale de Toulouse Midi-Pyrénées</t>
  </si>
  <si>
    <t xml:space="preserve">COMUE COMUE Université Paris Lumières</t>
  </si>
  <si>
    <t xml:space="preserve">COMUE COMUE Université Paris-Est</t>
  </si>
  <si>
    <t xml:space="preserve">CUFR_MAYOTTE Centre universitaire de formation et de recherche de Mayotte</t>
  </si>
  <si>
    <t xml:space="preserve">E_LOUVRE Ecole du Louvre</t>
  </si>
  <si>
    <t xml:space="preserve">EAMV Ecole nationale supérieure d'architecture de Marne-la-Vallée</t>
  </si>
  <si>
    <t xml:space="preserve">EDA Ecole de l'air</t>
  </si>
  <si>
    <t xml:space="preserve">EHESP Ecole des hautes études en santé publique</t>
  </si>
  <si>
    <t xml:space="preserve">ENA Institut National du Service Publique</t>
  </si>
  <si>
    <t xml:space="preserve">ENA Institut régional d'administration de Bastia</t>
  </si>
  <si>
    <t xml:space="preserve">ENA Institut régional dadministration de Lille</t>
  </si>
  <si>
    <t xml:space="preserve">ENA Institut régional dadministration de Lyon</t>
  </si>
  <si>
    <t xml:space="preserve">ENA Institut régional dadministration de Metz</t>
  </si>
  <si>
    <t xml:space="preserve">ENA Institut régional dadministration de Nantes</t>
  </si>
  <si>
    <t xml:space="preserve">ENAC Ecole nationale de laviation civile</t>
  </si>
  <si>
    <t xml:space="preserve">ENAM Ecole nationale supérieure d'arts et métiers</t>
  </si>
  <si>
    <t xml:space="preserve">ENAP Ecole nationale de ladministration pénitentiaire</t>
  </si>
  <si>
    <t xml:space="preserve">ENM Ecole nationale de la magistrature</t>
  </si>
  <si>
    <t xml:space="preserve">ENPC Ecole nationale des ponts et chaussées</t>
  </si>
  <si>
    <t xml:space="preserve">ENSM Ecole nationale des sports de montagne</t>
  </si>
  <si>
    <t xml:space="preserve">ENSN Ecole nationale de voile et des sports nautiques</t>
  </si>
  <si>
    <t xml:space="preserve">ENSO école normale sociale de l'ouest d'Angers</t>
  </si>
  <si>
    <t xml:space="preserve">ENSP Ecole nationale supérieure de paysage de Versailles</t>
  </si>
  <si>
    <t xml:space="preserve">ENSPO Ecole nationale supérieure de la police</t>
  </si>
  <si>
    <t xml:space="preserve">ENSSPORT Centre de ressources, dexpertise et de performance sportives de Bordeaux</t>
  </si>
  <si>
    <t xml:space="preserve">ENSSPORT Centre de ressources, d'expertise et de performance sportives de Dijon</t>
  </si>
  <si>
    <t xml:space="preserve">ENSSPORT Centre de ressources, dexpertise et de performance sportives de la Réunion</t>
  </si>
  <si>
    <t xml:space="preserve">ENSSPORT Centre de ressources, dexpertise et de performance sportives de Montpellier</t>
  </si>
  <si>
    <t xml:space="preserve">ENSSPORT Centre de ressources, dexpertise et de performance sportives de Nancy</t>
  </si>
  <si>
    <t xml:space="preserve">ENSSPORT Centre de ressources, dexpertise et de performance sportives de Pointe à Pitre</t>
  </si>
  <si>
    <t xml:space="preserve">ENSSPORT Centre de ressources, dexpertise et de performance sportives de Poitiers</t>
  </si>
  <si>
    <t xml:space="preserve">ENSSPORT Centre de ressources, dexpertise et de performance sportives de Reims</t>
  </si>
  <si>
    <t xml:space="preserve">ENSSPORT Centre de ressources, dexpertise et de performance sportives de Rhône-Alpes</t>
  </si>
  <si>
    <t xml:space="preserve">ENSSPORT Centre de ressources, dexpertise et de performance sportives de Strasbourg</t>
  </si>
  <si>
    <t xml:space="preserve">ENSSPORT Centre de ressources, dexpertise et de performance sportives de Toulouse</t>
  </si>
  <si>
    <t xml:space="preserve">ENSSPORT Centre de ressources, dexpertise et de performance sportives de Vichy</t>
  </si>
  <si>
    <t xml:space="preserve">ENSSPORT Centre de ressources, dexpertise et de performance sportives de Wattignies</t>
  </si>
  <si>
    <t xml:space="preserve">ENSSPORT Centre de ressources, dexpertise et de performance sportives dIle de France</t>
  </si>
  <si>
    <t xml:space="preserve">ENSSPORT Centre de ressources, dexpertise et de performance sportives du Centre</t>
  </si>
  <si>
    <t xml:space="preserve">ENSSPORT Centre de ressources, dexpertise et de performance sportives Pays de la Loire</t>
  </si>
  <si>
    <t xml:space="preserve">ENSSPORT Centre de ressources, dexpertise et de performance sportives Provence-Alpes-Côte d'Azur</t>
  </si>
  <si>
    <t xml:space="preserve">ENSSPORT Institut national du sport, de l'expertise et de la performance</t>
  </si>
  <si>
    <t xml:space="preserve">ENSSS Ecole nationale supérieure de sécurité sociale</t>
  </si>
  <si>
    <t xml:space="preserve">ENTPE Ecole nationale des travaux publics de l'Etat</t>
  </si>
  <si>
    <t xml:space="preserve">EPCS_CONDORCET Etablissement public Campus Condorcet</t>
  </si>
  <si>
    <t xml:space="preserve">EPE Etablissement public expérimental Université Clermont Auvergne (UCA)</t>
  </si>
  <si>
    <t xml:space="preserve">EPOLY Ecole polytechnique</t>
  </si>
  <si>
    <t xml:space="preserve">ESAG Centre denseignement zootechnique</t>
  </si>
  <si>
    <t xml:space="preserve">ESAG Ecole nationale du génie de leau et de lenvironnement de Strasbourg</t>
  </si>
  <si>
    <t xml:space="preserve">ESAG Ecole nationale supérieure de formation de lenseignement agricole</t>
  </si>
  <si>
    <t xml:space="preserve">ESAG institut supérieur de l'agriculture de Rhône-Alpes</t>
  </si>
  <si>
    <t xml:space="preserve">ESAR centre national des arts du cirque</t>
  </si>
  <si>
    <t xml:space="preserve">ESAR Conservatoire national supérieur dart dramatique</t>
  </si>
  <si>
    <t xml:space="preserve">ESAR Conservatoire national supérieur de musique et de danse de Lyon</t>
  </si>
  <si>
    <t xml:space="preserve">ESAR Conservatoire national supérieur de musique et de danse de Paris</t>
  </si>
  <si>
    <t xml:space="preserve">ESAR Ecole nationale supérieure d'architecture de Bretagne</t>
  </si>
  <si>
    <t xml:space="preserve">ESAR Ecole nationale supérieure d'architecture de Clermont-Ferrand</t>
  </si>
  <si>
    <t xml:space="preserve">ESAR Ecole nationale supérieure darchitecture de Grenoble</t>
  </si>
  <si>
    <t xml:space="preserve">ESAR Ecole nationale supérieure d'architecture de Lyon</t>
  </si>
  <si>
    <t xml:space="preserve">ESAR Ecole nationale supérieure d'architecture de Marseille</t>
  </si>
  <si>
    <t xml:space="preserve">ESAR Ecole nationale supérieure darchitecture de Montpellier</t>
  </si>
  <si>
    <t xml:space="preserve">ESAR Ecole nationale supérieure d'architecture de Nancy</t>
  </si>
  <si>
    <t xml:space="preserve">ESAR Ecole nationale supérieure d'architecture de Nantes</t>
  </si>
  <si>
    <t xml:space="preserve">ESAR Ecole nationale supérieure d'architecture de Normandie</t>
  </si>
  <si>
    <t xml:space="preserve">ESAR Ecole nationale supérieure d'architecture de Paris-Belleville</t>
  </si>
  <si>
    <t xml:space="preserve">ESAR Ecole nationale supérieure d'architecture de Paris-la Villette</t>
  </si>
  <si>
    <t xml:space="preserve">ESAR Ecole nationale supérieure d'architecture de Paris-Malaquais</t>
  </si>
  <si>
    <t xml:space="preserve">ESAR Ecole nationale supérieure d'architecture de Paris-Val de Seine</t>
  </si>
  <si>
    <t xml:space="preserve">ESAR Ecole nationale supérieure d'architecture de Saint-Etienne</t>
  </si>
  <si>
    <t xml:space="preserve">ESAR Ecole nationale supérieure d'architecture de Strasbourg</t>
  </si>
  <si>
    <t xml:space="preserve">ESAR Ecole nationale supérieure d'architecture de Toulouse</t>
  </si>
  <si>
    <t xml:space="preserve">ESAR Ecole nationale supérieure d'architecture de Versailles</t>
  </si>
  <si>
    <t xml:space="preserve">ESAR Ecole nationale supérieure d'architecture et de paysage de Bordeaux</t>
  </si>
  <si>
    <t xml:space="preserve">ESAR Ecole nationale supérieure darchitecture et de paysage de Lille</t>
  </si>
  <si>
    <t xml:space="preserve">ESAR Ecole nationale supérieure d'art de Bourges</t>
  </si>
  <si>
    <t xml:space="preserve">ESAR Ecole nationale supérieure d'art de Cergy</t>
  </si>
  <si>
    <t xml:space="preserve">ESAR Ecole nationale supérieure d'art de Dijon</t>
  </si>
  <si>
    <t xml:space="preserve">ESAR Ecole nationale supérieure d'art de Limoges-Aubusson</t>
  </si>
  <si>
    <t xml:space="preserve">ESAR Ecole nationale supérieure d'art et de design de Nancy</t>
  </si>
  <si>
    <t xml:space="preserve">ESAR Ecole nationale supérieure de création industrielle</t>
  </si>
  <si>
    <t xml:space="preserve">ESAR Ecole nationale supérieure de la photographie</t>
  </si>
  <si>
    <t xml:space="preserve">ESAR Ecole nationale supérieure des arts décoratifs</t>
  </si>
  <si>
    <t xml:space="preserve">ESAR Ecole nationale supérieure des arts et techniques du théâtre</t>
  </si>
  <si>
    <t xml:space="preserve">ESAR Ecole nationale supérieure des beaux-arts</t>
  </si>
  <si>
    <t xml:space="preserve">ESAR Ecole nationale supérieure des métiers de l'image et du son</t>
  </si>
  <si>
    <t xml:space="preserve">ESAR Ecole nationale supérieure des sciences de linformation et des bibliothèques</t>
  </si>
  <si>
    <t xml:space="preserve">ESAR Etablissement public de la Cité de l'architecture et du patrimoine</t>
  </si>
  <si>
    <t xml:space="preserve">ESAR Institut national du Patrimoine</t>
  </si>
  <si>
    <t xml:space="preserve">EST Ecole nationale supérieure Louis-Lumière</t>
  </si>
  <si>
    <t xml:space="preserve">FCIP GIP académique pour la promotion de la formation des adultes, l'insertion professionnelle et la validation</t>
  </si>
  <si>
    <t xml:space="preserve">FCIP GIP Dispositif académique d'insertion, de formation et d'ingénierie FCIP Guadeloupe</t>
  </si>
  <si>
    <t xml:space="preserve">FCIP GIP Formation continue et insertion professionnelle de Bourgogne</t>
  </si>
  <si>
    <t xml:space="preserve">FCIP GIP Formation Continue et Insertion professionnelle de Franche Comté</t>
  </si>
  <si>
    <t xml:space="preserve">FCIP GIP Formation Continue et Insertion Professionnelle de l'Académie de Normandie</t>
  </si>
  <si>
    <t xml:space="preserve">FCIP GIP Formation continue et Insertion professionnelle de Paris</t>
  </si>
  <si>
    <t xml:space="preserve">FCIP GIP Formation et certification pour l'insertion professionnelle de Toulouse</t>
  </si>
  <si>
    <t xml:space="preserve">FCIP GIP Formation tout au long de la vie</t>
  </si>
  <si>
    <t xml:space="preserve">FCIP GIP Formation tout au long de la vie et insertion professionnelle de l'académie d'Orléans-Tours</t>
  </si>
  <si>
    <t xml:space="preserve">FCIP Groupement d'intérêt public - Formation continue et insertion professionnelle de l'académie de Poitiers</t>
  </si>
  <si>
    <t xml:space="preserve">FCIP Groupement d'intérêt public académique dans les domaines de la formation et de l'insertion professionnelle</t>
  </si>
  <si>
    <t xml:space="preserve">FCIP Groupement d'intérêt public académique Formation Continue</t>
  </si>
  <si>
    <t xml:space="preserve">FCIP Groupement d'intérêt public Auvergne</t>
  </si>
  <si>
    <t xml:space="preserve">FCIP Groupement d'intérêt public de l'académie de Lyon</t>
  </si>
  <si>
    <t xml:space="preserve">FCIP Groupement dintérêt public Education et formation tout au long de la vie de lacadémie de Lille</t>
  </si>
  <si>
    <t xml:space="preserve">FCIP Groupement d'intérêt public Formation continue et inserti on professionnelle de l'académ ie de Martinique</t>
  </si>
  <si>
    <t xml:space="preserve">FCIP Groupement d'intérêt public Formation continue et insertion professionnelle - Alsace</t>
  </si>
  <si>
    <t xml:space="preserve">FCIP Groupement d'intérêt public Formation continue et insertion professionnelle : EXPERIENCE</t>
  </si>
  <si>
    <t xml:space="preserve">FCIP Groupement d'intérêt public Formation continue et insertion professionnelle d'Aquitaine</t>
  </si>
  <si>
    <t xml:space="preserve">FCIP Groupement dintérêt public Formation continue et insertion professionnelle de la Guyane</t>
  </si>
  <si>
    <t xml:space="preserve">FCIP Groupement d'intérêt public Formation continue et insertion professionnelle de l'académie de Corse (GIPACOR)</t>
  </si>
  <si>
    <t xml:space="preserve">FCIP Groupement d'intérêt public Formation continue et insertion professionnelle de l'académie de Créteil</t>
  </si>
  <si>
    <t xml:space="preserve">FCIP Groupement d'intérêt public Formation continue et insertion professionnelle de l'académie de la Réunion</t>
  </si>
  <si>
    <t xml:space="preserve">FCIP Groupement d'intérêt public Formation continue et insertion professionnelle de l'académie de Limoges</t>
  </si>
  <si>
    <t xml:space="preserve">FCIP Groupement d'intérêt public Formation continue et insertion professionnelle de l'académie de Versailles</t>
  </si>
  <si>
    <t xml:space="preserve">FCIP Groupement d'intérêt public formation de l'académie de Rennes - GIPFAR</t>
  </si>
  <si>
    <t xml:space="preserve">FCIP Groupement dintérêt public Formation et insertion professionnelles de lacadémie de Grenoble</t>
  </si>
  <si>
    <t xml:space="preserve">FCIP Groupement d'intérêt public Formation et insertion professionnelles de l'académie de Nice</t>
  </si>
  <si>
    <t xml:space="preserve">FCIP Groupement d'intérêt public FORMAVIE - académie de Montpellier</t>
  </si>
  <si>
    <t xml:space="preserve">FCIP Groupement d'intérêt public Insertion</t>
  </si>
  <si>
    <t xml:space="preserve">FCS_PSCC FCS Paris Saclay Cancer Cluster</t>
  </si>
  <si>
    <t xml:space="preserve">FIPHFP Fonds pour l'insertion des personnes handicapées dans la Fonction Publique</t>
  </si>
  <si>
    <t xml:space="preserve">FPE Institut national des jeunes aveugles</t>
  </si>
  <si>
    <t xml:space="preserve">FPE Institut national des jeunes sourds de Bordeaux</t>
  </si>
  <si>
    <t xml:space="preserve">FPE Institut national des jeunes sourds de Chambéry</t>
  </si>
  <si>
    <t xml:space="preserve">FPE Institut national des jeunes sourds de Metz</t>
  </si>
  <si>
    <t xml:space="preserve">FPE Institut national des jeunes sourds de Paris</t>
  </si>
  <si>
    <t xml:space="preserve">FPE Institut national supérieur de formation et de recherche pour léducation des jeunes handica pés et enseignements adapté</t>
  </si>
  <si>
    <t xml:space="preserve">GEES Ecole des hautes études en sciences sociales</t>
  </si>
  <si>
    <t xml:space="preserve">GEES Ecole française dExtrême- Orient</t>
  </si>
  <si>
    <t xml:space="preserve">GEES Ecole nationale des chartes</t>
  </si>
  <si>
    <t xml:space="preserve">GEES Ecole nationale supérieure d'informatique pour l'industrie et l'entreprise</t>
  </si>
  <si>
    <t xml:space="preserve">GEES Ecole nationale Supérieure maritime</t>
  </si>
  <si>
    <t xml:space="preserve">GEES Ecole navale</t>
  </si>
  <si>
    <t xml:space="preserve">GEES Ecole normale supérieure</t>
  </si>
  <si>
    <t xml:space="preserve">GEES Ecole normale supérieure de Lyon</t>
  </si>
  <si>
    <t xml:space="preserve">GEES Ecole normale supérieure de Paris-Saclay</t>
  </si>
  <si>
    <t xml:space="preserve">GEES Ecole normale supérieure de Rennes</t>
  </si>
  <si>
    <t xml:space="preserve">GEES Ecole pratique des hautes études</t>
  </si>
  <si>
    <t xml:space="preserve">GEES Institut national des langues et civilisations orientales</t>
  </si>
  <si>
    <t xml:space="preserve">GEES institut supérieur de gestion</t>
  </si>
  <si>
    <t xml:space="preserve">GEEST Centrale Lille Institut</t>
  </si>
  <si>
    <t xml:space="preserve">GEEST CentraleSupélec</t>
  </si>
  <si>
    <t xml:space="preserve">GEEST Conservatoire national des arts et métiers</t>
  </si>
  <si>
    <t xml:space="preserve">GEEST Ecole centrale de Lyon</t>
  </si>
  <si>
    <t xml:space="preserve">GEEST Ecole centrale de Marseille</t>
  </si>
  <si>
    <t xml:space="preserve">GEEST Ecole centrale de Nantes</t>
  </si>
  <si>
    <t xml:space="preserve">GEEST Ecole nationale dingénieurs de Brest</t>
  </si>
  <si>
    <t xml:space="preserve">GEEST Ecole nationale dingénieurs de Tarbes</t>
  </si>
  <si>
    <t xml:space="preserve">GEEST Ecole nationale supérieure de chimie de Montpellier</t>
  </si>
  <si>
    <t xml:space="preserve">GEEST Ecole nationale supérieure de chimie de Paris</t>
  </si>
  <si>
    <t xml:space="preserve">GEEST Ecole nationale supérieure de chimie de Rennes</t>
  </si>
  <si>
    <t xml:space="preserve">GEEST école nationale supérieure de l'électronique et de ses applications de Cergy</t>
  </si>
  <si>
    <t xml:space="preserve">GEEST Ecole nationale supérieure de mécanique et d'aérotechnique de Poitiers</t>
  </si>
  <si>
    <t xml:space="preserve">GEEST école nationale supérieure de mécanique et de microtechnique de Besançon</t>
  </si>
  <si>
    <t xml:space="preserve">GEEST Ecole nationale supérieure de techniques avancées Bretagne</t>
  </si>
  <si>
    <t xml:space="preserve">GEEST Ecole nationale supérieure de techniques avancées ParisTech</t>
  </si>
  <si>
    <t xml:space="preserve">GEEST Ecole nationale supérieure des arts et industries textiles</t>
  </si>
  <si>
    <t xml:space="preserve">GEEST Ecole nationale supérieure des mines de Paris</t>
  </si>
  <si>
    <t xml:space="preserve">GEEST école nationale supérieure d'ingénieurs de Caen</t>
  </si>
  <si>
    <t xml:space="preserve">GEEST école supérieure du bois</t>
  </si>
  <si>
    <t xml:space="preserve">GEEST institut d'optique théorique et appliquée</t>
  </si>
  <si>
    <t xml:space="preserve">GEEST Institut Mines-Télécom</t>
  </si>
  <si>
    <t xml:space="preserve">GEEST Institut polytechnique de Bordeaux</t>
  </si>
  <si>
    <t xml:space="preserve">GEEST Institut supérieur de l'aéronautique et de l'espace</t>
  </si>
  <si>
    <t xml:space="preserve">GEEST Institut supérieur de mécanique de Paris</t>
  </si>
  <si>
    <t xml:space="preserve">GEN Groupement d'intérêt public La Grande Ecole du Numérique</t>
  </si>
  <si>
    <t xml:space="preserve">GENES Groupe des écoles nationales d'économie et statistique</t>
  </si>
  <si>
    <t xml:space="preserve">IAEP Institut d'administration des entreprises de Paris</t>
  </si>
  <si>
    <t xml:space="preserve">IEP Institut détudes politiques d'Aix-en-Provence</t>
  </si>
  <si>
    <t xml:space="preserve">IEP Institut d'études politiques de Bordeaux</t>
  </si>
  <si>
    <t xml:space="preserve">IEP Institut d'études politiques de Grenoble</t>
  </si>
  <si>
    <t xml:space="preserve">IEP Institut d'études politiques de Lille</t>
  </si>
  <si>
    <t xml:space="preserve">IEP Institut d'études politiques de Lyon</t>
  </si>
  <si>
    <t xml:space="preserve">IEP Institut d'études politiques de Rennes</t>
  </si>
  <si>
    <t xml:space="preserve">IEP Institut d'études politiques de Toulouse</t>
  </si>
  <si>
    <t xml:space="preserve">IHEST Institut des hautes études pour la science et la technologie</t>
  </si>
  <si>
    <t xml:space="preserve">INFOMA Institut national de formation des personnels du ministère de l'agriculture</t>
  </si>
  <si>
    <t xml:space="preserve">INHA Institut national d'histoire de l'art</t>
  </si>
  <si>
    <t xml:space="preserve">INSA Institut national des sciences appliquées Centre Val de Loire</t>
  </si>
  <si>
    <t xml:space="preserve">INSA Institut national des sciences appliquées de Lyon</t>
  </si>
  <si>
    <t xml:space="preserve">INSA Institut national des sciences appliquées de Rennes</t>
  </si>
  <si>
    <t xml:space="preserve">INSA Institut national des sciences appliquées de Rouen</t>
  </si>
  <si>
    <t xml:space="preserve">INSA Institut national des sciences appliquées de Strasbourg</t>
  </si>
  <si>
    <t xml:space="preserve">INSA Institut national des sciences appliquées de Toulouse</t>
  </si>
  <si>
    <t xml:space="preserve">INSA Institut National des Sciences appliquées Hauts de France</t>
  </si>
  <si>
    <t xml:space="preserve">INUJFC Institut national universitaire Jean-François Champollion</t>
  </si>
  <si>
    <t xml:space="preserve">ONISEP Office national dinformation sur les enseignements et les professions</t>
  </si>
  <si>
    <t xml:space="preserve">PTECH Agro Paris Tech</t>
  </si>
  <si>
    <t xml:space="preserve">UNIVERS Clermont Auvergne INP</t>
  </si>
  <si>
    <t xml:space="preserve">UNIVERS CY Cergy Paris Université</t>
  </si>
  <si>
    <t xml:space="preserve">UNIVERS Institut de physique du globe de Paris</t>
  </si>
  <si>
    <t xml:space="preserve">UNIVERS Institut national polytechnique de Toulouse</t>
  </si>
  <si>
    <t xml:space="preserve">UNIVERS Institut polytechnique de Grenoble</t>
  </si>
  <si>
    <t xml:space="preserve">UNIVERS Institut Polytechnique de Paris</t>
  </si>
  <si>
    <t xml:space="preserve">UNIVERS Université Claude Bernard Lyon I</t>
  </si>
  <si>
    <t xml:space="preserve">UNIVERS Université Côte d'Azur</t>
  </si>
  <si>
    <t xml:space="preserve">UNIVERS Université dAix-Marseille</t>
  </si>
  <si>
    <t xml:space="preserve">UNIVERS Université dAngers</t>
  </si>
  <si>
    <t xml:space="preserve">UNIVERS Université dArtois</t>
  </si>
  <si>
    <t xml:space="preserve">UNIVERS Université d'Avignon et des Pays-de-Vaucluse</t>
  </si>
  <si>
    <t xml:space="preserve">UNIVERS Université de Besançon</t>
  </si>
  <si>
    <t xml:space="preserve">UNIVERS Université de Bordeaux</t>
  </si>
  <si>
    <t xml:space="preserve">UNIVERS Université de Bordeaux III</t>
  </si>
  <si>
    <t xml:space="preserve">UNIVERS Université de Bourgogne</t>
  </si>
  <si>
    <t xml:space="preserve">UNIVERS Université de Bretagne occidentale</t>
  </si>
  <si>
    <t xml:space="preserve">UNIVERS Université de Bretagne-Sud</t>
  </si>
  <si>
    <t xml:space="preserve">UNIVERS Université de Caen</t>
  </si>
  <si>
    <t xml:space="preserve">UNIVERS Université de Chambéry</t>
  </si>
  <si>
    <t xml:space="preserve">UNIVERS Université de Corse</t>
  </si>
  <si>
    <t xml:space="preserve">UNIVERS Université de Grenoble Alpes</t>
  </si>
  <si>
    <t xml:space="preserve">UNIVERS Université de la Guyane</t>
  </si>
  <si>
    <t xml:space="preserve">UNIVERS Université de la Réunion</t>
  </si>
  <si>
    <t xml:space="preserve">UNIVERS Université de la Rochelle</t>
  </si>
  <si>
    <t xml:space="preserve">UNIVERS Université de Lille</t>
  </si>
  <si>
    <t xml:space="preserve">UNIVERS Université de Limoges</t>
  </si>
  <si>
    <t xml:space="preserve">UNIVERS Université de Lorraine</t>
  </si>
  <si>
    <t xml:space="preserve">UNIVERS Université de Lyon II</t>
  </si>
  <si>
    <t xml:space="preserve">UNIVERS Université de Lyon III</t>
  </si>
  <si>
    <t xml:space="preserve">UNIVERS Université de Montpellier</t>
  </si>
  <si>
    <t xml:space="preserve">UNIVERS Université de Montpellier III</t>
  </si>
  <si>
    <t xml:space="preserve">UNIVERS Université de Mulhouse</t>
  </si>
  <si>
    <t xml:space="preserve">UNIVERS Université de Nantes</t>
  </si>
  <si>
    <t xml:space="preserve">UNIVERS Université de Nîmes</t>
  </si>
  <si>
    <t xml:space="preserve">UNIVERS Université de Paris</t>
  </si>
  <si>
    <t xml:space="preserve">UNIVERS Université de Paris I Panthéon Sorbonne</t>
  </si>
  <si>
    <t xml:space="preserve">UNIVERS Université de Paris III</t>
  </si>
  <si>
    <t xml:space="preserve">UNIVERS Université de Paris VIII</t>
  </si>
  <si>
    <t xml:space="preserve">UNIVERS Université de Paris XII</t>
  </si>
  <si>
    <t xml:space="preserve">UNIVERS Université de Paris XIII</t>
  </si>
  <si>
    <t xml:space="preserve">UNIVERS Université de Pau et des Pays de lAdour</t>
  </si>
  <si>
    <t xml:space="preserve">UNIVERS Université de Perpignan</t>
  </si>
  <si>
    <t xml:space="preserve">UNIVERS Université de Picardie Jules Verne</t>
  </si>
  <si>
    <t xml:space="preserve">UNIVERS Université de Poitiers</t>
  </si>
  <si>
    <t xml:space="preserve">UNIVERS Université de Reims</t>
  </si>
  <si>
    <t xml:space="preserve">UNIVERS Université de Rennes</t>
  </si>
  <si>
    <t xml:space="preserve">UNIVERS Université de Rennes II</t>
  </si>
  <si>
    <t xml:space="preserve">UNIVERS Université de Rouen</t>
  </si>
  <si>
    <t xml:space="preserve">UNIVERS Université de Saint-Etienne</t>
  </si>
  <si>
    <t xml:space="preserve">UNIVERS Université de Strasbourg</t>
  </si>
  <si>
    <t xml:space="preserve">UNIVERS Université de technologie de Belfort-Montbéliard</t>
  </si>
  <si>
    <t xml:space="preserve">UNIVERS Université de technologie de Compiègne</t>
  </si>
  <si>
    <t xml:space="preserve">UNIVERS Université de technologie de Troyes</t>
  </si>
  <si>
    <t xml:space="preserve">UNIVERS Université de Toulon et du Var</t>
  </si>
  <si>
    <t xml:space="preserve">UNIVERS Université de Toulouse II le Mirail</t>
  </si>
  <si>
    <t xml:space="preserve">UNIVERS Université de Toulouse III</t>
  </si>
  <si>
    <t xml:space="preserve">UNIVERS Université de Tours</t>
  </si>
  <si>
    <t xml:space="preserve">UNIVERS Université de Versailles Saint-Quentin-en-Yvelines</t>
  </si>
  <si>
    <t xml:space="preserve">UNIVERS Université des Antilles</t>
  </si>
  <si>
    <t xml:space="preserve">UNIVERS Université d'Evry-Val d'Essonne</t>
  </si>
  <si>
    <t xml:space="preserve">UNIVERS Université dOrléans</t>
  </si>
  <si>
    <t xml:space="preserve">UNIVERS Université du Havre</t>
  </si>
  <si>
    <t xml:space="preserve">UNIVERS Université du Littoral Côte d'Opale</t>
  </si>
  <si>
    <t xml:space="preserve">UNIVERS Université du Maine</t>
  </si>
  <si>
    <t xml:space="preserve">UNIVERS Université Gustave Eiffel</t>
  </si>
  <si>
    <t xml:space="preserve">UNIVERS Université Paris Nanterre (Paris X)</t>
  </si>
  <si>
    <t xml:space="preserve">UNIVERS Université Paris Saclay</t>
  </si>
  <si>
    <t xml:space="preserve">UNIVERS Université Paris sciences et lettres</t>
  </si>
  <si>
    <t xml:space="preserve">UNIVERS Université Paris-Dauphine</t>
  </si>
  <si>
    <t xml:space="preserve">UNIVERS Université Paris-Panthéon-Assas</t>
  </si>
  <si>
    <t xml:space="preserve">UNIVERS Université Polytechnique Hauts de France</t>
  </si>
  <si>
    <t xml:space="preserve">UNIVERS Université Sorbonne Université</t>
  </si>
  <si>
    <t xml:space="preserve">UNIVERS Université Toulouse Capitole</t>
  </si>
  <si>
    <t xml:space="preserve">UNIVFSSP Université numérique en santé et sport.fr (UNESS.fr)</t>
  </si>
  <si>
    <t xml:space="preserve">Fonction 10 : Protection sociale</t>
  </si>
  <si>
    <t xml:space="preserve">AGS association pour la gestion du régime d'assurance des créances des salariés</t>
  </si>
  <si>
    <t xml:space="preserve">ANCOLS Agence nationale de contrôle du logement social</t>
  </si>
  <si>
    <t xml:space="preserve">ANCT Agence nationale de la cohésion des territoires</t>
  </si>
  <si>
    <t xml:space="preserve">CLEISS Centre des liaisons européennes et internationales de sécurité sociale</t>
  </si>
  <si>
    <t xml:space="preserve">EPIDE Etablissement public d'insertion de la défense</t>
  </si>
  <si>
    <t xml:space="preserve">ONAC Office national des anciens combattants et victimes de guerre</t>
  </si>
  <si>
    <t xml:space="preserve">SNE Groupement d'intérêt public système national d'enregistrement</t>
  </si>
  <si>
    <t xml:space="preserve">ODAL 2023 Insee 2025</t>
  </si>
  <si>
    <t xml:space="preserve">Catégories Nombre d’organismes</t>
  </si>
  <si>
    <t xml:space="preserve">Agences d'urbanisme 51</t>
  </si>
  <si>
    <t xml:space="preserve">Centre de gestion de la propriété forestière 1</t>
  </si>
  <si>
    <t xml:space="preserve">Chambres consulaires 273</t>
  </si>
  <si>
    <t xml:space="preserve">Etablissements publics fonciers 40</t>
  </si>
  <si>
    <t xml:space="preserve">ODAL divers 143</t>
  </si>
  <si>
    <t xml:space="preserve">Services départementaux d'incendie et de secours 97</t>
  </si>
  <si>
    <t xml:space="preserve">Electricité de Mayotte 1</t>
  </si>
  <si>
    <t xml:space="preserve">Etablissements publics d'aménagement 11</t>
  </si>
  <si>
    <t xml:space="preserve">Ile-de-France Mobilités 1</t>
  </si>
  <si>
    <t xml:space="preserve">Offices de tourisme 439</t>
  </si>
  <si>
    <t xml:space="preserve">Société de la ligne nouvelle Montpellier Perpignan 1</t>
  </si>
  <si>
    <t xml:space="preserve">Société de la ligne nouvelle Provence Côte d'Azur 1</t>
  </si>
  <si>
    <t xml:space="preserve">Société de livraison des ouvrages olympiques 1</t>
  </si>
  <si>
    <t xml:space="preserve">Société du canal Seine-Nord Europe 1</t>
  </si>
  <si>
    <t xml:space="preserve">Sociétés d'aménagement foncier et d'établissement rural 18</t>
  </si>
  <si>
    <t xml:space="preserve">Sociétés de grands projets 2</t>
  </si>
  <si>
    <t xml:space="preserve">Agences et offices de l'eau 10</t>
  </si>
  <si>
    <t xml:space="preserve">Etablissements publics culturels locaux 248</t>
  </si>
  <si>
    <t xml:space="preserve">Caisses des écoles 1164</t>
  </si>
  <si>
    <t xml:space="preserve">Centres de gestion de la fonction publique territoriale 97</t>
  </si>
  <si>
    <t xml:space="preserve">Etablissements publics locaux d'enseignement 7976</t>
  </si>
  <si>
    <t xml:space="preserve">Centres communaux d'action sociale 12599</t>
  </si>
  <si>
    <t xml:space="preserve">Maisons départementales des personnes handicapées 101</t>
  </si>
  <si>
    <t xml:space="preserve">AAPI (PLF 2026)</t>
  </si>
  <si>
    <t xml:space="preserve">Agence française de lutte contre le dopage</t>
  </si>
  <si>
    <t xml:space="preserve">Autorité de contrôle des nuisances sonores aéroportuaires</t>
  </si>
  <si>
    <t xml:space="preserve">Autorité de la concurrence</t>
  </si>
  <si>
    <t xml:space="preserve">Autorité de régulation de la communication audiovisuelle et numérique</t>
  </si>
  <si>
    <t xml:space="preserve">Autorité de régulation des communications électroniques, des postes et de la distribution de la presse</t>
  </si>
  <si>
    <t xml:space="preserve">ok</t>
  </si>
  <si>
    <t xml:space="preserve">Autorité de régulation des transports</t>
  </si>
  <si>
    <t xml:space="preserve">Autorité de sûreté nucléaire et de radioprotection</t>
  </si>
  <si>
    <t xml:space="preserve">Autorité des marchés financiers</t>
  </si>
  <si>
    <t xml:space="preserve">Autorité nationale des jeux</t>
  </si>
  <si>
    <t xml:space="preserve">Comité d'indemnisation des victimes des essais nucléaires</t>
  </si>
  <si>
    <t xml:space="preserve">Commission d’accès aux documents administratifs</t>
  </si>
  <si>
    <t xml:space="preserve">Commission de régulation de l'énergie</t>
  </si>
  <si>
    <t xml:space="preserve">Commission du secret de la défense nationale</t>
  </si>
  <si>
    <t xml:space="preserve">Commission nationale de contrôle des techniques de renseignement</t>
  </si>
  <si>
    <t xml:space="preserve">Commission nationale de l'informatique et des libertés</t>
  </si>
  <si>
    <t xml:space="preserve">Commission nationale des comptes de campagne et des financements politiques</t>
  </si>
  <si>
    <t xml:space="preserve">Commission nationale du débat public</t>
  </si>
  <si>
    <t xml:space="preserve">Contrôleur général des lieux de privation de liberté</t>
  </si>
  <si>
    <t xml:space="preserve">Défenseur des droits</t>
  </si>
  <si>
    <t xml:space="preserve">Haut Conseil de l'évaluation de la recherche et de l'enseignement supérieur</t>
  </si>
  <si>
    <t xml:space="preserve">Haute autorité de l'audit</t>
  </si>
  <si>
    <t xml:space="preserve">Haute Autorité de santé</t>
  </si>
  <si>
    <t xml:space="preserve">Haute Autorité pour la transparence de la vie publique</t>
  </si>
  <si>
    <t xml:space="preserve">Médiateur national de l'énergie</t>
  </si>
  <si>
    <t xml:space="preserve">Effectifs physiques de la fonction publique par statut au 31 décembre</t>
  </si>
  <si>
    <t xml:space="preserve">en milliers</t>
  </si>
  <si>
    <t xml:space="preserve">Total</t>
  </si>
  <si>
    <r>
      <rPr>
        <sz val="10"/>
        <rFont val="Arial"/>
        <family val="2"/>
      </rPr>
      <t xml:space="preserve">Fonctionnaires</t>
    </r>
    <r>
      <rPr>
        <vertAlign val="superscript"/>
        <sz val="10"/>
        <rFont val="Arial"/>
        <family val="2"/>
      </rPr>
      <t xml:space="preserve">(4)</t>
    </r>
  </si>
  <si>
    <t xml:space="preserve">Contractuels</t>
  </si>
  <si>
    <t xml:space="preserve">Militaires</t>
  </si>
  <si>
    <r>
      <rPr>
        <sz val="10"/>
        <rFont val="Arial"/>
        <family val="2"/>
      </rPr>
      <t xml:space="preserve">Autres catégories et statuts</t>
    </r>
    <r>
      <rPr>
        <vertAlign val="superscript"/>
        <sz val="10"/>
        <rFont val="Arial"/>
        <family val="2"/>
      </rPr>
      <t xml:space="preserve">(3)</t>
    </r>
  </si>
  <si>
    <t xml:space="preserve">FPE</t>
  </si>
  <si>
    <t xml:space="preserve">Fonctionnaires</t>
  </si>
  <si>
    <r>
      <rPr>
        <sz val="10"/>
        <rFont val="Arial"/>
        <family val="2"/>
      </rPr>
      <t xml:space="preserve">Militaires</t>
    </r>
    <r>
      <rPr>
        <vertAlign val="superscript"/>
        <sz val="10"/>
        <rFont val="Arial"/>
        <family val="2"/>
      </rPr>
      <t xml:space="preserve">(2)</t>
    </r>
  </si>
  <si>
    <t xml:space="preserve">FPT</t>
  </si>
  <si>
    <r>
      <rPr>
        <b val="true"/>
        <sz val="10"/>
        <rFont val="Arial"/>
        <family val="2"/>
      </rPr>
      <t xml:space="preserve">FPH</t>
    </r>
    <r>
      <rPr>
        <b val="true"/>
        <vertAlign val="superscript"/>
        <sz val="10"/>
        <rFont val="Arial"/>
        <family val="2"/>
      </rPr>
      <t xml:space="preserve">(6)</t>
    </r>
  </si>
  <si>
    <t xml:space="preserve">(1) Depuis 2005, les élèves de l'École polytechnique apparaissent dans le champ des EPA de la fonction publique de l'État.</t>
  </si>
  <si>
    <t xml:space="preserve">(2) Les militaires volontaires sont comptabilisés dans les effectifs de l'État à partir de 2004.</t>
  </si>
  <si>
    <t xml:space="preserve">(3) La catégorie "Autres catégories et statuts" recouvre principalement les enseignants et documentalistes des établissements privés sous contrat et les ouvriers d'État dans la FPE, les assistants maternels et familiaux dans la FPT, les médecins dans la FPH et les apprentis dans les trois versants.</t>
  </si>
  <si>
    <t xml:space="preserve">(4) Pour respecter le secret statistique, dans la FPT, les militaires (sapeurs-pompiers de Marseille) sont regroupés avec les fonctionnaires.</t>
  </si>
  <si>
    <t xml:space="preserve">Effectifs physiques de la fonction publique territoriale par statut des agents et type de collectivité au 31 décembre</t>
  </si>
  <si>
    <t xml:space="preserve">Effectifs physiques de la fonction publique territoriale par filière au 31 décembre</t>
  </si>
  <si>
    <t xml:space="preserve">Total FPT (collectivités locales + EPA locaux)</t>
  </si>
  <si>
    <t xml:space="preserve">Total FPT</t>
  </si>
  <si>
    <t xml:space="preserve">Ensemble</t>
  </si>
  <si>
    <r>
      <rPr>
        <sz val="10"/>
        <color rgb="FF000000"/>
        <rFont val="Arial"/>
        <family val="2"/>
      </rPr>
      <t xml:space="preserve">Dont secteur communal</t>
    </r>
    <r>
      <rPr>
        <vertAlign val="superscript"/>
        <sz val="10"/>
        <color rgb="FF000000"/>
        <rFont val="Arial"/>
        <family val="2"/>
      </rPr>
      <t xml:space="preserve">(4)</t>
    </r>
  </si>
  <si>
    <t xml:space="preserve">Administrative</t>
  </si>
  <si>
    <t xml:space="preserve">Total collectivités territoriales (communes + départements + régions)</t>
  </si>
  <si>
    <t xml:space="preserve">Animation</t>
  </si>
  <si>
    <r>
      <rPr>
        <sz val="10"/>
        <color rgb="FF000000"/>
        <rFont val="Arial"/>
        <family val="2"/>
      </rPr>
      <t xml:space="preserve">Communes</t>
    </r>
    <r>
      <rPr>
        <vertAlign val="superscript"/>
        <sz val="10"/>
        <color rgb="FF000000"/>
        <rFont val="Arial"/>
        <family val="2"/>
      </rPr>
      <t xml:space="preserve">(1)</t>
    </r>
  </si>
  <si>
    <t xml:space="preserve">Culturelle</t>
  </si>
  <si>
    <t xml:space="preserve">Départements</t>
  </si>
  <si>
    <t xml:space="preserve">Incendie-secours</t>
  </si>
  <si>
    <t xml:space="preserve">Régions</t>
  </si>
  <si>
    <t xml:space="preserve">Médico-sociale</t>
  </si>
  <si>
    <t xml:space="preserve">Total EPA locaux</t>
  </si>
  <si>
    <t xml:space="preserve">Médico-technique</t>
  </si>
  <si>
    <r>
      <rPr>
        <sz val="10"/>
        <color rgb="FF000000"/>
        <rFont val="Arial"/>
        <family val="2"/>
      </rPr>
      <t xml:space="preserve">Établissements communaux</t>
    </r>
    <r>
      <rPr>
        <vertAlign val="superscript"/>
        <sz val="10"/>
        <color rgb="FF000000"/>
        <rFont val="Arial"/>
        <family val="2"/>
      </rPr>
      <t xml:space="preserve">(1)</t>
    </r>
  </si>
  <si>
    <t xml:space="preserve">Sécurité</t>
  </si>
  <si>
    <r>
      <rPr>
        <sz val="10"/>
        <color rgb="FF000000"/>
        <rFont val="Arial"/>
        <family val="2"/>
      </rPr>
      <t xml:space="preserve">Établissements intercommunaux</t>
    </r>
    <r>
      <rPr>
        <vertAlign val="superscript"/>
        <sz val="10"/>
        <color rgb="FF000000"/>
        <rFont val="Arial"/>
        <family val="2"/>
      </rPr>
      <t xml:space="preserve">(1)</t>
    </r>
  </si>
  <si>
    <t xml:space="preserve">Sociale</t>
  </si>
  <si>
    <t xml:space="preserve">Établissement départementaux</t>
  </si>
  <si>
    <t xml:space="preserve">Sportive</t>
  </si>
  <si>
    <t xml:space="preserve">Autres EPA locaux</t>
  </si>
  <si>
    <t xml:space="preserve">Technique</t>
  </si>
  <si>
    <t xml:space="preserve">(1) Les évolutions concernant les effectifs des communes et des établissements communaux et intercommunaux doivent être interprétées avec précaution compte tenu des possibles modifications (regroupements notamment), en relation avec la mise en place de structures intercommunales. </t>
  </si>
  <si>
    <t xml:space="preserve">Hors filière et indéterminée</t>
  </si>
  <si>
    <t xml:space="preserve">(2) Pour respecter le secret statistique, dans la FPT les militaires (sapeurs pompiers de Marseille) sont regroupés avec les fonctionnaires et les militaires volontaires avec les contractuels.</t>
  </si>
  <si>
    <t xml:space="preserve">Collectivités territoriales</t>
  </si>
  <si>
    <t xml:space="preserve">(3) Dans la FPT, la catégorie "autres catégories et statuts" recouvre les collaborateurs de cabinet, les assistants maternels et les apprentis.</t>
  </si>
  <si>
    <t xml:space="preserve">(4) Le secteur communal comprend les communes, les établissements communaux et intercommunaux et d'autres EPA locaux tels que les caisses du crédit municipal, les régies, etc.</t>
  </si>
  <si>
    <t xml:space="preserve">(5) En 2018, une Collectivité Territoriale Unique a été mise en place à partir de la fusion des deux départements et de la Collectivité Territoriale de Corse. Les évolutions des effectifs des départements et régions s'expliquent en partie par cette mise en place. Les effectifs de cette nouvelle collectivité sont désormais décomptés avec les régions. A périmètre constant, l'évolution des départements serait de 0,0 % et celle des régions de +3,2 %.</t>
  </si>
  <si>
    <t xml:space="preserve">EPA</t>
  </si>
  <si>
    <r>
      <rPr>
        <b val="true"/>
        <sz val="10"/>
        <color rgb="FF000000"/>
        <rFont val="Arial"/>
        <family val="2"/>
      </rPr>
      <t xml:space="preserve">Effectifs physiques des personnels non médicaux</t>
    </r>
    <r>
      <rPr>
        <b val="true"/>
        <vertAlign val="superscript"/>
        <sz val="10"/>
        <color rgb="FF000000"/>
        <rFont val="Arial"/>
        <family val="2"/>
      </rPr>
      <t xml:space="preserve">(1)</t>
    </r>
    <r>
      <rPr>
        <b val="true"/>
        <sz val="10"/>
        <color rgb="FF000000"/>
        <rFont val="Arial"/>
        <family val="2"/>
      </rPr>
      <t xml:space="preserve"> de la fonction publique hospitalière par filière au 31 décembre</t>
    </r>
  </si>
  <si>
    <t xml:space="preserve">dont</t>
  </si>
  <si>
    <t xml:space="preserve">Total FPH</t>
  </si>
  <si>
    <t xml:space="preserve">Hôpitaux</t>
  </si>
  <si>
    <t xml:space="preserve">Établissements d'hébergement pour personnes âgées (EHPA)</t>
  </si>
  <si>
    <t xml:space="preserve">Autres établissements médico-sociaux</t>
  </si>
  <si>
    <t xml:space="preserve">Socio-éducative</t>
  </si>
  <si>
    <t xml:space="preserve">Soignante</t>
  </si>
  <si>
    <t xml:space="preserve">Technique-ouvrière</t>
  </si>
  <si>
    <t xml:space="preserve">Hors filières et indéterminée</t>
  </si>
  <si>
    <t xml:space="preserve">(1) Les personnels non médicaux recouvrent les agents de la FPH hors médecins et internes.</t>
  </si>
  <si>
    <t xml:space="preserve">Effectifs des départements ministériels par statut et par ministère de tutelle au 31 décembre</t>
  </si>
  <si>
    <t xml:space="preserve">Effectifs des ministères par statut au 31 décembre</t>
  </si>
  <si>
    <t xml:space="preserve">Militaires et militaires volontaires</t>
  </si>
  <si>
    <r>
      <rPr>
        <sz val="10"/>
        <rFont val="Arial"/>
        <family val="2"/>
      </rPr>
      <t xml:space="preserve">Autres catégories et statuts</t>
    </r>
    <r>
      <rPr>
        <vertAlign val="superscript"/>
        <sz val="10"/>
        <rFont val="Arial"/>
        <family val="2"/>
      </rPr>
      <t xml:space="preserve">(1)</t>
    </r>
  </si>
  <si>
    <t xml:space="preserve">Agriculture et alimentation</t>
  </si>
  <si>
    <t xml:space="preserve">Armées</t>
  </si>
  <si>
    <t xml:space="preserve">Culture</t>
  </si>
  <si>
    <t xml:space="preserve">Ministères économiques et financiers</t>
  </si>
  <si>
    <t xml:space="preserve">Éducation nationale, Jeunesse, Sports, Enseignement supérieur, Recherche et Innovation</t>
  </si>
  <si>
    <r>
      <rPr>
        <sz val="10"/>
        <rFont val="Arial"/>
        <family val="2"/>
      </rPr>
      <t xml:space="preserve">Europe et Affaires étrangères</t>
    </r>
    <r>
      <rPr>
        <vertAlign val="superscript"/>
        <sz val="10"/>
        <rFont val="Arial"/>
        <family val="2"/>
      </rPr>
      <t xml:space="preserve">(2)</t>
    </r>
  </si>
  <si>
    <t xml:space="preserve">Intérieur et Outre-mer</t>
  </si>
  <si>
    <t xml:space="preserve">Justice</t>
  </si>
  <si>
    <t xml:space="preserve">Services du Premier ministre</t>
  </si>
  <si>
    <t xml:space="preserve">Ministères sociaux</t>
  </si>
  <si>
    <t xml:space="preserve">Solidarités et santé</t>
  </si>
  <si>
    <t xml:space="preserve">Travail</t>
  </si>
  <si>
    <t xml:space="preserve">Transition écologique et Cohésion des territoires</t>
  </si>
  <si>
    <r>
      <rPr>
        <b val="true"/>
        <sz val="10"/>
        <rFont val="Arial"/>
        <family val="2"/>
      </rPr>
      <t xml:space="preserve">Total hors enseignants</t>
    </r>
    <r>
      <rPr>
        <b val="true"/>
        <vertAlign val="superscript"/>
        <sz val="10"/>
        <rFont val="Arial"/>
        <family val="2"/>
      </rPr>
      <t xml:space="preserve">(3)</t>
    </r>
  </si>
  <si>
    <t xml:space="preserve">Effectifs par statut et par catégorie selon la nature de l'employeur au 31 décembre</t>
  </si>
  <si>
    <t xml:space="preserve">Catégorie A</t>
  </si>
  <si>
    <t xml:space="preserve">Catégorie B</t>
  </si>
  <si>
    <t xml:space="preserve">Catégorie C</t>
  </si>
  <si>
    <t xml:space="preserve">Indéterminé</t>
  </si>
  <si>
    <t xml:space="preserve">Effectifs physiques</t>
  </si>
  <si>
    <t xml:space="preserve">Ministères</t>
  </si>
  <si>
    <t xml:space="preserve">Ensemble FPE</t>
  </si>
  <si>
    <t xml:space="preserve">Emplois rémunérés par le programme</t>
  </si>
  <si>
    <t xml:space="preserve">Evolution des emplois à périmètre constant</t>
  </si>
  <si>
    <t xml:space="preserve">Nature de la</t>
  </si>
  <si>
    <t xml:space="preserve">Budget</t>
  </si>
  <si>
    <t xml:space="preserve">Code</t>
  </si>
  <si>
    <t xml:space="preserve">Libellé de la mission
Libellé du programme</t>
  </si>
  <si>
    <t xml:space="preserve">Transferts de gestion (1)</t>
  </si>
  <si>
    <t xml:space="preserve">Réalisation (2)</t>
  </si>
  <si>
    <t xml:space="preserve">LFI + LFR
(3)</t>
  </si>
  <si>
    <t xml:space="preserve">Transferts de gestion (4)</t>
  </si>
  <si>
    <t xml:space="preserve">Réalisation (5)</t>
  </si>
  <si>
    <t xml:space="preserve">Ecart à LFI + LFR après transferts de gestion (5- (3+4)</t>
  </si>
  <si>
    <t xml:space="preserve">Mesures de périmètre en LFI (6)</t>
  </si>
  <si>
    <t xml:space="preserve">Mesures de transfert en LFI (7)</t>
  </si>
  <si>
    <t xml:space="preserve">Corrections techniques (8)</t>
  </si>
  <si>
    <t xml:space="preserve">Impact des schémas d'emploi
(5-4)-(2-1)-(6+7+8)</t>
  </si>
  <si>
    <t xml:space="preserve">dont extension en année pleine des schémas d'emploi</t>
  </si>
  <si>
    <t xml:space="preserve">dont impact des schémas d'emploi</t>
  </si>
  <si>
    <t xml:space="preserve">Sorties</t>
  </si>
  <si>
    <t xml:space="preserve">dont départs en retraite</t>
  </si>
  <si>
    <t xml:space="preserve">Mois moyen des sorties</t>
  </si>
  <si>
    <t xml:space="preserve">Entrées</t>
  </si>
  <si>
    <t xml:space="preserve">dont primo recrutements</t>
  </si>
  <si>
    <t xml:space="preserve">Mois moyen des entrées</t>
  </si>
  <si>
    <t xml:space="preserve">Shéma d'emplois</t>
  </si>
  <si>
    <t xml:space="preserve">ligne</t>
  </si>
  <si>
    <t xml:space="preserve">Libellé de la catégorie d'emploi</t>
  </si>
  <si>
    <t xml:space="preserve">2023 pour 2024</t>
  </si>
  <si>
    <t xml:space="preserve">2024 sur 2024</t>
  </si>
  <si>
    <t xml:space="preserve">Réalisation</t>
  </si>
  <si>
    <t xml:space="preserve">Prévision PAP</t>
  </si>
  <si>
    <t xml:space="preserve">BA</t>
  </si>
  <si>
    <t xml:space="preserve">Budget annexe</t>
  </si>
  <si>
    <t xml:space="preserve">XC</t>
  </si>
  <si>
    <t xml:space="preserve">Contrôle et exploitation aériens</t>
  </si>
  <si>
    <t xml:space="preserve">Soutien aux prestations de l'aviation civile</t>
  </si>
  <si>
    <t xml:space="preserve">Catégorie d'emploi</t>
  </si>
  <si>
    <t xml:space="preserve">613-1200</t>
  </si>
  <si>
    <t xml:space="preserve">Administratifs et cadres</t>
  </si>
  <si>
    <t xml:space="preserve">613-1201</t>
  </si>
  <si>
    <t xml:space="preserve">Ingénieurs du contrôle de la navigation aérienne</t>
  </si>
  <si>
    <t xml:space="preserve">613-1202</t>
  </si>
  <si>
    <t xml:space="preserve">Ingénieurs électroniciens des systèmes de sécurité aérienne et techniciens supérieurs des études et de l'exploitation de l'aviation civile</t>
  </si>
  <si>
    <t xml:space="preserve">613-1203</t>
  </si>
  <si>
    <t xml:space="preserve">Ouvriers et personnels navigants</t>
  </si>
  <si>
    <t xml:space="preserve">XJ</t>
  </si>
  <si>
    <t xml:space="preserve">Publications officielles et information administrative</t>
  </si>
  <si>
    <t xml:space="preserve">Pilotage et ressources humaines</t>
  </si>
  <si>
    <t xml:space="preserve">624-1205</t>
  </si>
  <si>
    <t xml:space="preserve">Catégorie A+</t>
  </si>
  <si>
    <t xml:space="preserve">624-1206</t>
  </si>
  <si>
    <t xml:space="preserve">624-1207</t>
  </si>
  <si>
    <t xml:space="preserve">624-1208</t>
  </si>
  <si>
    <t xml:space="preserve">624-1209</t>
  </si>
  <si>
    <t xml:space="preserve">BG</t>
  </si>
  <si>
    <t xml:space="preserve">Budget général</t>
  </si>
  <si>
    <t xml:space="preserve">AA</t>
  </si>
  <si>
    <t xml:space="preserve">Action extérieure de l'État</t>
  </si>
  <si>
    <t xml:space="preserve">Action de la France en Europe et dans le monde</t>
  </si>
  <si>
    <t xml:space="preserve">105-1101</t>
  </si>
  <si>
    <t xml:space="preserve">Titulaires et CDI en administration centrale</t>
  </si>
  <si>
    <t xml:space="preserve">105-1102</t>
  </si>
  <si>
    <t xml:space="preserve">Titulaires et CDI dans le réseau</t>
  </si>
  <si>
    <t xml:space="preserve">105-1103</t>
  </si>
  <si>
    <t xml:space="preserve">CDD et volontaires internationaux</t>
  </si>
  <si>
    <t xml:space="preserve">105-1104</t>
  </si>
  <si>
    <t xml:space="preserve">105-1105</t>
  </si>
  <si>
    <t xml:space="preserve">Agents de droit local</t>
  </si>
  <si>
    <t xml:space="preserve">Diplomatie culturelle et d'influence</t>
  </si>
  <si>
    <t xml:space="preserve">185-1101</t>
  </si>
  <si>
    <t xml:space="preserve">185-1102</t>
  </si>
  <si>
    <t xml:space="preserve">185-1103</t>
  </si>
  <si>
    <t xml:space="preserve">185-1105</t>
  </si>
  <si>
    <t xml:space="preserve">Français à l'étranger et affaires consulaires</t>
  </si>
  <si>
    <t xml:space="preserve">151-1101</t>
  </si>
  <si>
    <t xml:space="preserve">151-1102</t>
  </si>
  <si>
    <t xml:space="preserve">151-1103</t>
  </si>
  <si>
    <t xml:space="preserve">151-1105</t>
  </si>
  <si>
    <t xml:space="preserve">AB</t>
  </si>
  <si>
    <t xml:space="preserve">Administration générale et territoriale de l'État</t>
  </si>
  <si>
    <t xml:space="preserve">Administration territoriale de l'État</t>
  </si>
  <si>
    <t xml:space="preserve">354-1160</t>
  </si>
  <si>
    <t xml:space="preserve">Hauts fonctionnaires</t>
  </si>
  <si>
    <t xml:space="preserve">354-1174</t>
  </si>
  <si>
    <t xml:space="preserve">Personnels administratifs cat A</t>
  </si>
  <si>
    <t xml:space="preserve">354-1175</t>
  </si>
  <si>
    <t xml:space="preserve">Personnels administratifs cat B</t>
  </si>
  <si>
    <t xml:space="preserve">354-1176</t>
  </si>
  <si>
    <t xml:space="preserve">Personnels administratifs cat C</t>
  </si>
  <si>
    <t xml:space="preserve">354-1162</t>
  </si>
  <si>
    <t xml:space="preserve">Personnels techniques</t>
  </si>
  <si>
    <t xml:space="preserve">Vie politique</t>
  </si>
  <si>
    <t xml:space="preserve">232-1160</t>
  </si>
  <si>
    <t xml:space="preserve">232-1174</t>
  </si>
  <si>
    <t xml:space="preserve">232-1175</t>
  </si>
  <si>
    <t xml:space="preserve">232-1176</t>
  </si>
  <si>
    <t xml:space="preserve">Conduite et pilotage des politiques de l'intérieur</t>
  </si>
  <si>
    <t xml:space="preserve">216-1160</t>
  </si>
  <si>
    <t xml:space="preserve">216-1174</t>
  </si>
  <si>
    <t xml:space="preserve">216-1175</t>
  </si>
  <si>
    <t xml:space="preserve">216-1176</t>
  </si>
  <si>
    <t xml:space="preserve">216-1162</t>
  </si>
  <si>
    <t xml:space="preserve">216-1163</t>
  </si>
  <si>
    <t xml:space="preserve">Personnels des cultes</t>
  </si>
  <si>
    <t xml:space="preserve">216-1165</t>
  </si>
  <si>
    <t xml:space="preserve">Ouvriers d'Etat</t>
  </si>
  <si>
    <t xml:space="preserve">216-1166</t>
  </si>
  <si>
    <t xml:space="preserve">Hauts fonctionnaires, corps de conception et de direction et corps de commandement (police nationale)</t>
  </si>
  <si>
    <t xml:space="preserve">216-1167</t>
  </si>
  <si>
    <t xml:space="preserve">Corps d'encadrement et d'application (police nationale)</t>
  </si>
  <si>
    <t xml:space="preserve">216-1177</t>
  </si>
  <si>
    <t xml:space="preserve">Officiers de gendarmerie</t>
  </si>
  <si>
    <t xml:space="preserve">216-1178</t>
  </si>
  <si>
    <t xml:space="preserve">Officiers du corps technique et administratif de la gendarmerie nationale</t>
  </si>
  <si>
    <t xml:space="preserve">216-1179</t>
  </si>
  <si>
    <t xml:space="preserve">Sous-officiers de gendarmerie</t>
  </si>
  <si>
    <t xml:space="preserve">216-1180</t>
  </si>
  <si>
    <t xml:space="preserve">Sous-officiers du corps de soutien technique et administratif de la gendarmerie nationale</t>
  </si>
  <si>
    <t xml:space="preserve">216-1172</t>
  </si>
  <si>
    <t xml:space="preserve">Volontaires (gendarmes)</t>
  </si>
  <si>
    <t xml:space="preserve">216-1173</t>
  </si>
  <si>
    <t xml:space="preserve">Inspecteurs et délégués du permis du conduire</t>
  </si>
  <si>
    <t xml:space="preserve">AC</t>
  </si>
  <si>
    <t xml:space="preserve">Agriculture, alimentation, forêt et affaires rurales</t>
  </si>
  <si>
    <t xml:space="preserve">Sécurité et qualité sanitaires de l'alimentation</t>
  </si>
  <si>
    <t xml:space="preserve">206-1013</t>
  </si>
  <si>
    <t xml:space="preserve">Enseignants</t>
  </si>
  <si>
    <t xml:space="preserve">206-1014</t>
  </si>
  <si>
    <t xml:space="preserve">A - Administratifs et Techniques</t>
  </si>
  <si>
    <t xml:space="preserve">206-1015</t>
  </si>
  <si>
    <t xml:space="preserve">B et C - Administratifs et Techniques</t>
  </si>
  <si>
    <t xml:space="preserve">Conduite et pilotage des politiques de l'agriculture</t>
  </si>
  <si>
    <t xml:space="preserve">215-1013</t>
  </si>
  <si>
    <t xml:space="preserve">215-1014</t>
  </si>
  <si>
    <t xml:space="preserve">215-1015</t>
  </si>
  <si>
    <t xml:space="preserve">AD</t>
  </si>
  <si>
    <t xml:space="preserve">Aide publique au développement</t>
  </si>
  <si>
    <t xml:space="preserve">Solidarité à l'égard des pays en développement</t>
  </si>
  <si>
    <t xml:space="preserve">209-1101</t>
  </si>
  <si>
    <t xml:space="preserve">209-1102</t>
  </si>
  <si>
    <t xml:space="preserve">209-1103</t>
  </si>
  <si>
    <t xml:space="preserve">209-1105</t>
  </si>
  <si>
    <t xml:space="preserve">MB</t>
  </si>
  <si>
    <t xml:space="preserve">Anciens combattants, mémoire et liens avec la Nation</t>
  </si>
  <si>
    <t xml:space="preserve">Indemnisation des victimes des persécutions antisémites et des actes de barbarie pendant la seconde guerre mondiale</t>
  </si>
  <si>
    <t xml:space="preserve">158-1135</t>
  </si>
  <si>
    <t xml:space="preserve">158-1136</t>
  </si>
  <si>
    <t xml:space="preserve">158-1137</t>
  </si>
  <si>
    <t xml:space="preserve">158-1138</t>
  </si>
  <si>
    <t xml:space="preserve">VA</t>
  </si>
  <si>
    <t xml:space="preserve">Cohésion des territoires</t>
  </si>
  <si>
    <t xml:space="preserve">Impulsion et coordination de la politique d'aménagement du territoire</t>
  </si>
  <si>
    <t xml:space="preserve">112-1052</t>
  </si>
  <si>
    <t xml:space="preserve">Politique de la ville</t>
  </si>
  <si>
    <t xml:space="preserve">147-1052</t>
  </si>
  <si>
    <t xml:space="preserve">147-1053</t>
  </si>
  <si>
    <t xml:space="preserve">CA</t>
  </si>
  <si>
    <t xml:space="preserve">Conseil et contrôle de l'État</t>
  </si>
  <si>
    <t xml:space="preserve">Conseil d'État et autres juridictions administratives</t>
  </si>
  <si>
    <t xml:space="preserve">165-1130</t>
  </si>
  <si>
    <t xml:space="preserve">Membres du Conseil d'Etat</t>
  </si>
  <si>
    <t xml:space="preserve">165-1131</t>
  </si>
  <si>
    <t xml:space="preserve">Magistrats de l'ordre administratif</t>
  </si>
  <si>
    <t xml:space="preserve">165-1135</t>
  </si>
  <si>
    <t xml:space="preserve">165-1136</t>
  </si>
  <si>
    <t xml:space="preserve">165-1137</t>
  </si>
  <si>
    <t xml:space="preserve">Conseil économique, social et environnemental</t>
  </si>
  <si>
    <t xml:space="preserve">126-1134</t>
  </si>
  <si>
    <t xml:space="preserve">Catégorie A +</t>
  </si>
  <si>
    <t xml:space="preserve">126-1135</t>
  </si>
  <si>
    <t xml:space="preserve">126-1136</t>
  </si>
  <si>
    <t xml:space="preserve">126-1137</t>
  </si>
  <si>
    <t xml:space="preserve">126-1138</t>
  </si>
  <si>
    <t xml:space="preserve">Cour des comptes et autres juridictions financières</t>
  </si>
  <si>
    <t xml:space="preserve">164-1134</t>
  </si>
  <si>
    <t xml:space="preserve">164-1135</t>
  </si>
  <si>
    <t xml:space="preserve">164-1136</t>
  </si>
  <si>
    <t xml:space="preserve">164-1137</t>
  </si>
  <si>
    <t xml:space="preserve">CB</t>
  </si>
  <si>
    <t xml:space="preserve">Soutien aux politiques du ministère de la culture</t>
  </si>
  <si>
    <t xml:space="preserve">224-1005</t>
  </si>
  <si>
    <t xml:space="preserve">Filière administrative</t>
  </si>
  <si>
    <t xml:space="preserve">224-1006</t>
  </si>
  <si>
    <t xml:space="preserve">Filière technique et d'enseignement</t>
  </si>
  <si>
    <t xml:space="preserve">224-1007</t>
  </si>
  <si>
    <t xml:space="preserve">Filière d'accueil, de surveillance et magasinage</t>
  </si>
  <si>
    <t xml:space="preserve">224-1008</t>
  </si>
  <si>
    <t xml:space="preserve">Filière scientifique</t>
  </si>
  <si>
    <t xml:space="preserve">DA</t>
  </si>
  <si>
    <t xml:space="preserve">Défense</t>
  </si>
  <si>
    <t xml:space="preserve">Soutien de la politique de la défense</t>
  </si>
  <si>
    <t xml:space="preserve">212-1087</t>
  </si>
  <si>
    <t xml:space="preserve">Catégorie A (personnels civils titulaires et non titulaires)</t>
  </si>
  <si>
    <t xml:space="preserve">212-1088</t>
  </si>
  <si>
    <t xml:space="preserve">Catégorie B (personnels civils titulaires et non titulaires)</t>
  </si>
  <si>
    <t xml:space="preserve">212-1089</t>
  </si>
  <si>
    <t xml:space="preserve">Catégorie C (personnels civils titulaires et non titulaires)</t>
  </si>
  <si>
    <t xml:space="preserve">212-1090</t>
  </si>
  <si>
    <t xml:space="preserve">Ouvriers de l'Etat</t>
  </si>
  <si>
    <t xml:space="preserve">212-1091</t>
  </si>
  <si>
    <t xml:space="preserve">Officiers</t>
  </si>
  <si>
    <t xml:space="preserve">212-1092</t>
  </si>
  <si>
    <t xml:space="preserve">Sous-officiers</t>
  </si>
  <si>
    <t xml:space="preserve">212-1093</t>
  </si>
  <si>
    <t xml:space="preserve">Militaires du rang</t>
  </si>
  <si>
    <t xml:space="preserve">212-1094</t>
  </si>
  <si>
    <t xml:space="preserve">Volontaires</t>
  </si>
  <si>
    <t xml:space="preserve">212-1095</t>
  </si>
  <si>
    <t xml:space="preserve">Volontaires stagiaires du SMV</t>
  </si>
  <si>
    <t xml:space="preserve">DC</t>
  </si>
  <si>
    <t xml:space="preserve">Direction de l'action du Gouvernement</t>
  </si>
  <si>
    <t xml:space="preserve">Coordination du travail gouvernemental</t>
  </si>
  <si>
    <t xml:space="preserve">129-1134</t>
  </si>
  <si>
    <t xml:space="preserve">129-1135</t>
  </si>
  <si>
    <t xml:space="preserve">129-1136</t>
  </si>
  <si>
    <t xml:space="preserve">129-1137</t>
  </si>
  <si>
    <t xml:space="preserve">129-1138</t>
  </si>
  <si>
    <t xml:space="preserve">Protection des droits et libertés</t>
  </si>
  <si>
    <t xml:space="preserve">308-1134</t>
  </si>
  <si>
    <t xml:space="preserve">308-1135</t>
  </si>
  <si>
    <t xml:space="preserve">308-1136</t>
  </si>
  <si>
    <t xml:space="preserve">308-1137</t>
  </si>
  <si>
    <t xml:space="preserve">308-1138</t>
  </si>
  <si>
    <t xml:space="preserve">TA</t>
  </si>
  <si>
    <t xml:space="preserve">Écologie, développement et mobilité durables</t>
  </si>
  <si>
    <t xml:space="preserve">Prévention des risques</t>
  </si>
  <si>
    <t xml:space="preserve">181-1052</t>
  </si>
  <si>
    <t xml:space="preserve">181-1053</t>
  </si>
  <si>
    <t xml:space="preserve">181-1054</t>
  </si>
  <si>
    <t xml:space="preserve">Conduite et pilotage des politiques de l'écologie, du développement et de la mobilité durables</t>
  </si>
  <si>
    <t xml:space="preserve">217-1052</t>
  </si>
  <si>
    <t xml:space="preserve">217-1053</t>
  </si>
  <si>
    <t xml:space="preserve">217-1054</t>
  </si>
  <si>
    <t xml:space="preserve">DB</t>
  </si>
  <si>
    <t xml:space="preserve">Économie</t>
  </si>
  <si>
    <t xml:space="preserve">Développement des entreprises et régulations</t>
  </si>
  <si>
    <t xml:space="preserve">134-1024</t>
  </si>
  <si>
    <t xml:space="preserve">134-1025</t>
  </si>
  <si>
    <t xml:space="preserve">134-1026</t>
  </si>
  <si>
    <t xml:space="preserve">134-1027</t>
  </si>
  <si>
    <t xml:space="preserve">Statistiques et études économiques</t>
  </si>
  <si>
    <t xml:space="preserve">220-1024</t>
  </si>
  <si>
    <t xml:space="preserve">220-1025</t>
  </si>
  <si>
    <t xml:space="preserve">220-1026</t>
  </si>
  <si>
    <t xml:space="preserve">220-1027</t>
  </si>
  <si>
    <t xml:space="preserve">Stratégies économiques</t>
  </si>
  <si>
    <t xml:space="preserve">305-1024</t>
  </si>
  <si>
    <t xml:space="preserve">305-1025</t>
  </si>
  <si>
    <t xml:space="preserve">305-1026</t>
  </si>
  <si>
    <t xml:space="preserve">305-1027</t>
  </si>
  <si>
    <t xml:space="preserve">EC</t>
  </si>
  <si>
    <t xml:space="preserve">Enseignement scolaire</t>
  </si>
  <si>
    <t xml:space="preserve">Enseignement scolaire public du premier degré</t>
  </si>
  <si>
    <t xml:space="preserve">140-1106</t>
  </si>
  <si>
    <t xml:space="preserve">Enseignants du 1er degré</t>
  </si>
  <si>
    <t xml:space="preserve">140-1107</t>
  </si>
  <si>
    <t xml:space="preserve">Enseignants du 2nd degré</t>
  </si>
  <si>
    <t xml:space="preserve">140-1108</t>
  </si>
  <si>
    <t xml:space="preserve">Enseignants stagiaires</t>
  </si>
  <si>
    <t xml:space="preserve">140-1111</t>
  </si>
  <si>
    <t xml:space="preserve">Personnels d'encadrement</t>
  </si>
  <si>
    <t xml:space="preserve">140-1112</t>
  </si>
  <si>
    <t xml:space="preserve">Personnels administratif, technique et de service</t>
  </si>
  <si>
    <t xml:space="preserve">140-1117</t>
  </si>
  <si>
    <t xml:space="preserve">Personnels éducatifs et médicaux sociaux</t>
  </si>
  <si>
    <t xml:space="preserve">Enseignement scolaire public du second degré</t>
  </si>
  <si>
    <t xml:space="preserve">141-1106</t>
  </si>
  <si>
    <t xml:space="preserve">141-1107</t>
  </si>
  <si>
    <t xml:space="preserve">141-1108</t>
  </si>
  <si>
    <t xml:space="preserve">141-1111</t>
  </si>
  <si>
    <t xml:space="preserve">141-1112</t>
  </si>
  <si>
    <t xml:space="preserve">141-1117</t>
  </si>
  <si>
    <t xml:space="preserve">Vie de l'élève</t>
  </si>
  <si>
    <t xml:space="preserve">230-1108</t>
  </si>
  <si>
    <t xml:space="preserve">230-1112</t>
  </si>
  <si>
    <t xml:space="preserve">230-1115</t>
  </si>
  <si>
    <t xml:space="preserve">Accompagnants des élèves en situation de handicap</t>
  </si>
  <si>
    <t xml:space="preserve">230-1116</t>
  </si>
  <si>
    <t xml:space="preserve">Assistants d'éducation</t>
  </si>
  <si>
    <t xml:space="preserve">230-1117</t>
  </si>
  <si>
    <t xml:space="preserve">Enseignement privé du premier et du second degrés</t>
  </si>
  <si>
    <t xml:space="preserve">139-1106</t>
  </si>
  <si>
    <t xml:space="preserve">139-1107</t>
  </si>
  <si>
    <t xml:space="preserve">139-1108</t>
  </si>
  <si>
    <t xml:space="preserve">Soutien de la politique de l'éducation nationale</t>
  </si>
  <si>
    <t xml:space="preserve">214-1106</t>
  </si>
  <si>
    <t xml:space="preserve">214-1107</t>
  </si>
  <si>
    <t xml:space="preserve">214-1111</t>
  </si>
  <si>
    <t xml:space="preserve">214-1112</t>
  </si>
  <si>
    <t xml:space="preserve">214-1114</t>
  </si>
  <si>
    <t xml:space="preserve">Personnels de la jeunesse et des sports</t>
  </si>
  <si>
    <t xml:space="preserve">214-1117</t>
  </si>
  <si>
    <t xml:space="preserve">Enseignement technique agricole</t>
  </si>
  <si>
    <t xml:space="preserve">143-1013</t>
  </si>
  <si>
    <t xml:space="preserve">143-1014</t>
  </si>
  <si>
    <t xml:space="preserve">143-1015</t>
  </si>
  <si>
    <t xml:space="preserve">GA</t>
  </si>
  <si>
    <t xml:space="preserve">Gestion des finances publiques</t>
  </si>
  <si>
    <t xml:space="preserve">Gestion fiscale et financière de l'État et du secteur public local</t>
  </si>
  <si>
    <t xml:space="preserve">156-1024</t>
  </si>
  <si>
    <t xml:space="preserve">156-1025</t>
  </si>
  <si>
    <t xml:space="preserve">156-1026</t>
  </si>
  <si>
    <t xml:space="preserve">156-1027</t>
  </si>
  <si>
    <t xml:space="preserve">Conduite et pilotage des politiques économiques et financières</t>
  </si>
  <si>
    <t xml:space="preserve">218-1024</t>
  </si>
  <si>
    <t xml:space="preserve">218-1025</t>
  </si>
  <si>
    <t xml:space="preserve">218-1026</t>
  </si>
  <si>
    <t xml:space="preserve">218-1027</t>
  </si>
  <si>
    <t xml:space="preserve">Facilitation et sécurisation des échanges</t>
  </si>
  <si>
    <t xml:space="preserve">302-1024</t>
  </si>
  <si>
    <t xml:space="preserve">302-1025</t>
  </si>
  <si>
    <t xml:space="preserve">302-1026</t>
  </si>
  <si>
    <t xml:space="preserve">302-1027</t>
  </si>
  <si>
    <t xml:space="preserve">JA</t>
  </si>
  <si>
    <t xml:space="preserve">Justice judiciaire</t>
  </si>
  <si>
    <t xml:space="preserve">166-1036</t>
  </si>
  <si>
    <t xml:space="preserve">Magistrats de l'ordre judiciaire</t>
  </si>
  <si>
    <t xml:space="preserve">166-1037</t>
  </si>
  <si>
    <t xml:space="preserve">166-1039</t>
  </si>
  <si>
    <t xml:space="preserve">B administratifs et techniques</t>
  </si>
  <si>
    <t xml:space="preserve">166-1041</t>
  </si>
  <si>
    <t xml:space="preserve">C administratifs et techniques</t>
  </si>
  <si>
    <t xml:space="preserve">166-1043</t>
  </si>
  <si>
    <t xml:space="preserve">B métiers du greffe et du commandement</t>
  </si>
  <si>
    <t xml:space="preserve">Administration pénitentiaire</t>
  </si>
  <si>
    <t xml:space="preserve">107-1036</t>
  </si>
  <si>
    <t xml:space="preserve">107-1037</t>
  </si>
  <si>
    <t xml:space="preserve">107-1039</t>
  </si>
  <si>
    <t xml:space="preserve">107-1040</t>
  </si>
  <si>
    <t xml:space="preserve">Personnels de surveillance C</t>
  </si>
  <si>
    <t xml:space="preserve">107-1041</t>
  </si>
  <si>
    <t xml:space="preserve">107-1042</t>
  </si>
  <si>
    <t xml:space="preserve">A métiers du social, de l'insertion et de l'éducatif</t>
  </si>
  <si>
    <t xml:space="preserve">107-1043</t>
  </si>
  <si>
    <t xml:space="preserve">Protection judiciaire de la jeunesse</t>
  </si>
  <si>
    <t xml:space="preserve">182-1036</t>
  </si>
  <si>
    <t xml:space="preserve">182-1037</t>
  </si>
  <si>
    <t xml:space="preserve">182-1039</t>
  </si>
  <si>
    <t xml:space="preserve">182-1041</t>
  </si>
  <si>
    <t xml:space="preserve">182-1042</t>
  </si>
  <si>
    <t xml:space="preserve">Conduite et pilotage de la politique de la justice</t>
  </si>
  <si>
    <t xml:space="preserve">310-1036</t>
  </si>
  <si>
    <t xml:space="preserve">310-1037</t>
  </si>
  <si>
    <t xml:space="preserve">310-1039</t>
  </si>
  <si>
    <t xml:space="preserve">310-1041</t>
  </si>
  <si>
    <t xml:space="preserve">310-1042</t>
  </si>
  <si>
    <t xml:space="preserve">310-1043</t>
  </si>
  <si>
    <t xml:space="preserve">Conseil supérieur de la magistrature</t>
  </si>
  <si>
    <t xml:space="preserve">335-1036</t>
  </si>
  <si>
    <t xml:space="preserve">335-1037</t>
  </si>
  <si>
    <t xml:space="preserve">335-1039</t>
  </si>
  <si>
    <t xml:space="preserve">335-1041</t>
  </si>
  <si>
    <t xml:space="preserve">335-1043</t>
  </si>
  <si>
    <t xml:space="preserve">OA</t>
  </si>
  <si>
    <t xml:space="preserve">Outre-mer</t>
  </si>
  <si>
    <t xml:space="preserve">Emploi outre-mer</t>
  </si>
  <si>
    <t xml:space="preserve">138-1162</t>
  </si>
  <si>
    <t xml:space="preserve">138-1164</t>
  </si>
  <si>
    <t xml:space="preserve">Militaires (hors gendarmes)</t>
  </si>
  <si>
    <t xml:space="preserve">138-1165</t>
  </si>
  <si>
    <t xml:space="preserve">138-1181</t>
  </si>
  <si>
    <t xml:space="preserve">Personnels administratifs Outre-Mer</t>
  </si>
  <si>
    <t xml:space="preserve">138-1182</t>
  </si>
  <si>
    <t xml:space="preserve">Volontaires du SMA</t>
  </si>
  <si>
    <t xml:space="preserve">RA</t>
  </si>
  <si>
    <t xml:space="preserve">Recherche et enseignement supérieur</t>
  </si>
  <si>
    <t xml:space="preserve">Formations supérieures et recherche universitaire</t>
  </si>
  <si>
    <t xml:space="preserve">150-1320</t>
  </si>
  <si>
    <t xml:space="preserve">Enseignants-chercheurs titulaires</t>
  </si>
  <si>
    <t xml:space="preserve">150-1321</t>
  </si>
  <si>
    <t xml:space="preserve">Autres enseignants et assimilés</t>
  </si>
  <si>
    <t xml:space="preserve">150-1322</t>
  </si>
  <si>
    <t xml:space="preserve">A - Personnels d’encadrement</t>
  </si>
  <si>
    <t xml:space="preserve">150-1323</t>
  </si>
  <si>
    <t xml:space="preserve">B - Autres personnels BIATSS, bibliothèques et musées</t>
  </si>
  <si>
    <t xml:space="preserve">150-1324</t>
  </si>
  <si>
    <t xml:space="preserve">C - BIATSS, bibliothèques et musées</t>
  </si>
  <si>
    <t xml:space="preserve">Enseignement supérieur et recherche agricoles</t>
  </si>
  <si>
    <t xml:space="preserve">142-1013</t>
  </si>
  <si>
    <t xml:space="preserve">142-1014</t>
  </si>
  <si>
    <t xml:space="preserve">142-1015</t>
  </si>
  <si>
    <t xml:space="preserve">SB</t>
  </si>
  <si>
    <t xml:space="preserve">Sécurités</t>
  </si>
  <si>
    <t xml:space="preserve">Police nationale</t>
  </si>
  <si>
    <t xml:space="preserve">176-1174</t>
  </si>
  <si>
    <t xml:space="preserve">176-1175</t>
  </si>
  <si>
    <t xml:space="preserve">176-1176</t>
  </si>
  <si>
    <t xml:space="preserve">176-1162</t>
  </si>
  <si>
    <t xml:space="preserve">176-1165</t>
  </si>
  <si>
    <t xml:space="preserve">176-1166</t>
  </si>
  <si>
    <t xml:space="preserve">176-1167</t>
  </si>
  <si>
    <t xml:space="preserve">176-1168</t>
  </si>
  <si>
    <t xml:space="preserve">Personnels scientifique (police nationale)</t>
  </si>
  <si>
    <t xml:space="preserve">176-1169</t>
  </si>
  <si>
    <t xml:space="preserve">Policiers adjoints</t>
  </si>
  <si>
    <t xml:space="preserve">Gendarmerie nationale</t>
  </si>
  <si>
    <t xml:space="preserve">152-1160</t>
  </si>
  <si>
    <t xml:space="preserve">152-1174</t>
  </si>
  <si>
    <t xml:space="preserve">152-1175</t>
  </si>
  <si>
    <t xml:space="preserve">152-1176</t>
  </si>
  <si>
    <t xml:space="preserve">152-1162</t>
  </si>
  <si>
    <t xml:space="preserve">152-1165</t>
  </si>
  <si>
    <t xml:space="preserve">152-1177</t>
  </si>
  <si>
    <t xml:space="preserve">152-1178</t>
  </si>
  <si>
    <t xml:space="preserve">152-1179</t>
  </si>
  <si>
    <t xml:space="preserve">152-1180</t>
  </si>
  <si>
    <t xml:space="preserve">152-1172</t>
  </si>
  <si>
    <t xml:space="preserve">Sécurité civile</t>
  </si>
  <si>
    <t xml:space="preserve">161-1174</t>
  </si>
  <si>
    <t xml:space="preserve">161-1175</t>
  </si>
  <si>
    <t xml:space="preserve">161-1176</t>
  </si>
  <si>
    <t xml:space="preserve">161-1162</t>
  </si>
  <si>
    <t xml:space="preserve">161-1164</t>
  </si>
  <si>
    <t xml:space="preserve">161-1165</t>
  </si>
  <si>
    <t xml:space="preserve">161-1166</t>
  </si>
  <si>
    <t xml:space="preserve">161-1167</t>
  </si>
  <si>
    <t xml:space="preserve">SE</t>
  </si>
  <si>
    <t xml:space="preserve">Solidarité, insertion et égalité des chances</t>
  </si>
  <si>
    <t xml:space="preserve">Conduite et soutien des politiques sanitaires et sociales</t>
  </si>
  <si>
    <t xml:space="preserve">124-1372</t>
  </si>
  <si>
    <t xml:space="preserve">Emplois fonctionnels</t>
  </si>
  <si>
    <t xml:space="preserve">124-1373</t>
  </si>
  <si>
    <t xml:space="preserve">A administratifs</t>
  </si>
  <si>
    <t xml:space="preserve">124-1374</t>
  </si>
  <si>
    <t xml:space="preserve">A techniques</t>
  </si>
  <si>
    <t xml:space="preserve">124-1375</t>
  </si>
  <si>
    <t xml:space="preserve">B administratifs</t>
  </si>
  <si>
    <t xml:space="preserve">124-1377</t>
  </si>
  <si>
    <t xml:space="preserve">SF</t>
  </si>
  <si>
    <t xml:space="preserve">Sport, jeunesse et vie associative</t>
  </si>
  <si>
    <t xml:space="preserve">Sport</t>
  </si>
  <si>
    <t xml:space="preserve">219-1390</t>
  </si>
  <si>
    <t xml:space="preserve">Jeunesse et vie associative</t>
  </si>
  <si>
    <t xml:space="preserve">163-1114</t>
  </si>
  <si>
    <t xml:space="preserve">TR</t>
  </si>
  <si>
    <t xml:space="preserve">Transformation et fonction publiques</t>
  </si>
  <si>
    <t xml:space="preserve">Conduite et pilotage de la transformation et de la fonction publiques</t>
  </si>
  <si>
    <t xml:space="preserve">368-1124</t>
  </si>
  <si>
    <t xml:space="preserve">368-1125</t>
  </si>
  <si>
    <t xml:space="preserve">368-1126</t>
  </si>
  <si>
    <t xml:space="preserve">368-1127</t>
  </si>
  <si>
    <t xml:space="preserve">TB</t>
  </si>
  <si>
    <t xml:space="preserve">Travail et emploi</t>
  </si>
  <si>
    <t xml:space="preserve">Conception, gestion et évaluation des politiques de l'emploi et du travail</t>
  </si>
  <si>
    <t xml:space="preserve">155-1072</t>
  </si>
  <si>
    <t xml:space="preserve">155-1073</t>
  </si>
  <si>
    <t xml:space="preserve">155-1074</t>
  </si>
  <si>
    <t xml:space="preserve">155-1075</t>
  </si>
  <si>
    <t xml:space="preserve">155-1076</t>
  </si>
  <si>
    <t xml:space="preserve">B techniques</t>
  </si>
  <si>
    <t xml:space="preserve">155-1077</t>
  </si>
  <si>
    <t xml:space="preserve">MISSIONS</t>
  </si>
  <si>
    <t xml:space="preserve">PROGRAMMES</t>
  </si>
  <si>
    <t xml:space="preserve">P</t>
  </si>
  <si>
    <t xml:space="preserve">Compétitivité et durabilité de l'agriculture, de l'agroalimentaire et de la forêt</t>
  </si>
  <si>
    <t xml:space="preserve">Allègements du coût du travail en agriculture (TODE-AG)</t>
  </si>
  <si>
    <t xml:space="preserve">IA</t>
  </si>
  <si>
    <t xml:space="preserve">Immigration, asile et intégration</t>
  </si>
  <si>
    <t xml:space="preserve">AV</t>
  </si>
  <si>
    <t xml:space="preserve">Investir pour la France de 2030</t>
  </si>
  <si>
    <t xml:space="preserve">Aide économique et financière au développement</t>
  </si>
  <si>
    <t xml:space="preserve">MA</t>
  </si>
  <si>
    <t xml:space="preserve">Médias, livre et industries culturelles</t>
  </si>
  <si>
    <t xml:space="preserve">Renforcement des fonds propres de l'Agence française de développement</t>
  </si>
  <si>
    <t xml:space="preserve">Monde combattant, mémoire et liens avec la Nation</t>
  </si>
  <si>
    <t xml:space="preserve">Fonds de solidarité pour le développement</t>
  </si>
  <si>
    <t xml:space="preserve">Aide à l'accès au logement</t>
  </si>
  <si>
    <t xml:space="preserve">RB</t>
  </si>
  <si>
    <t xml:space="preserve">Régimes sociaux et de retraite</t>
  </si>
  <si>
    <t xml:space="preserve">RC</t>
  </si>
  <si>
    <t xml:space="preserve">Relations avec les collectivités territoriales</t>
  </si>
  <si>
    <t xml:space="preserve">Urbanisme, territoires et amélioration de l'habitat</t>
  </si>
  <si>
    <t xml:space="preserve">SA</t>
  </si>
  <si>
    <t xml:space="preserve">Santé</t>
  </si>
  <si>
    <t xml:space="preserve">Interventions territoriales de l'État</t>
  </si>
  <si>
    <t xml:space="preserve">Hébergement, parcours vers le logement et insertion des personnes vulnérables</t>
  </si>
  <si>
    <t xml:space="preserve">Travail, emploi et administration des ministères sociaux</t>
  </si>
  <si>
    <t xml:space="preserve">YK</t>
  </si>
  <si>
    <t xml:space="preserve">Financement des aides aux collectivités pour l'électrification rurale</t>
  </si>
  <si>
    <t xml:space="preserve">Création</t>
  </si>
  <si>
    <t xml:space="preserve">YB</t>
  </si>
  <si>
    <t xml:space="preserve">Gestion du patrimoine immobilier de l'État</t>
  </si>
  <si>
    <t xml:space="preserve">Patrimoines</t>
  </si>
  <si>
    <t xml:space="preserve">YE</t>
  </si>
  <si>
    <t xml:space="preserve">Contrôle de la circulation et du stationnement routiers</t>
  </si>
  <si>
    <t xml:space="preserve">YF</t>
  </si>
  <si>
    <t xml:space="preserve">Développement agricole et rural</t>
  </si>
  <si>
    <t xml:space="preserve">Transmission des savoirs et démocratisation de la culture</t>
  </si>
  <si>
    <t xml:space="preserve">ZD</t>
  </si>
  <si>
    <t xml:space="preserve">Avances à l'audiovisuel public</t>
  </si>
  <si>
    <t xml:space="preserve">Environnement et prospective de la politique de défense</t>
  </si>
  <si>
    <t xml:space="preserve">Équipement des forces</t>
  </si>
  <si>
    <t xml:space="preserve">Préparation et emploi des forces</t>
  </si>
  <si>
    <t xml:space="preserve">Paysages, eau et biodiversité</t>
  </si>
  <si>
    <t xml:space="preserve">Expertise, information géographique et météorologie</t>
  </si>
  <si>
    <t xml:space="preserve">Énergie, climat et après-mines</t>
  </si>
  <si>
    <t xml:space="preserve">Infrastructures et services de transports</t>
  </si>
  <si>
    <t xml:space="preserve">Affaires maritimes, pêche et aquaculture</t>
  </si>
  <si>
    <t xml:space="preserve">Sûreté nucléaire et radioprotection</t>
  </si>
  <si>
    <t xml:space="preserve">Service public de l'énergie</t>
  </si>
  <si>
    <t xml:space="preserve">Fonds d'accélération de la transition écologique dans les territoires</t>
  </si>
  <si>
    <t xml:space="preserve">Plan France Très haut débit</t>
  </si>
  <si>
    <t xml:space="preserve">Intégration et accès à la nationalité française</t>
  </si>
  <si>
    <t xml:space="preserve">Immigration et asile</t>
  </si>
  <si>
    <t xml:space="preserve">Soutien des progrès de l'enseignement et de la recherche</t>
  </si>
  <si>
    <t xml:space="preserve">Valorisation de la recherche</t>
  </si>
  <si>
    <t xml:space="preserve">Accélération de la modernisation des entreprises</t>
  </si>
  <si>
    <t xml:space="preserve">Financement des investissements stratégiques</t>
  </si>
  <si>
    <t xml:space="preserve">Financement structurel des écosystèmes d'innovation</t>
  </si>
  <si>
    <t xml:space="preserve">Accès au droit et à la justice</t>
  </si>
  <si>
    <t xml:space="preserve">Presse et médias</t>
  </si>
  <si>
    <t xml:space="preserve">Livre et industries culturelles</t>
  </si>
  <si>
    <t xml:space="preserve">Reconnaissance et réparation en faveur du monde combattant, mémoire et liens avec la Nation</t>
  </si>
  <si>
    <t xml:space="preserve">Conditions de vie outre-mer</t>
  </si>
  <si>
    <t xml:space="preserve">Recherches scientifiques et technologiques pluridisciplinaires</t>
  </si>
  <si>
    <t xml:space="preserve">Recherche dans les domaines de l'énergie, du développement et de la mobilité durables</t>
  </si>
  <si>
    <t xml:space="preserve">Recherche duale (civile et militaire)</t>
  </si>
  <si>
    <t xml:space="preserve">Recherche et enseignement supérieur en matière économique et industrielle</t>
  </si>
  <si>
    <t xml:space="preserve">Recherche spatiale</t>
  </si>
  <si>
    <t xml:space="preserve">Vie étudiante</t>
  </si>
  <si>
    <t xml:space="preserve">Régimes de retraite des mines, de la SEITA, et divers</t>
  </si>
  <si>
    <t xml:space="preserve">Régimes de retraite et de sécurité sociale des marins</t>
  </si>
  <si>
    <t xml:space="preserve">Régimes sociaux et de retraite des transports terrestres</t>
  </si>
  <si>
    <t xml:space="preserve">Concours financiers aux collectivités territoriales et à leurs groupements</t>
  </si>
  <si>
    <t xml:space="preserve">Concours spécifiques et administration</t>
  </si>
  <si>
    <t xml:space="preserve">Protection maladie</t>
  </si>
  <si>
    <t xml:space="preserve">Prévention, sécurité sanitaire et offre de soins</t>
  </si>
  <si>
    <t xml:space="preserve">Reversement à la sécurité sociale des recettes de la Facilité pour la Relance et la Résilience (FRR) européenne au titre du volet « Ségur investissement » du plan national de relance et de résilience (PNRR)</t>
  </si>
  <si>
    <t xml:space="preserve">Sécurité et éducation routières</t>
  </si>
  <si>
    <t xml:space="preserve">Égalité entre les femmes et les hommes</t>
  </si>
  <si>
    <t xml:space="preserve">Handicap et dépendance</t>
  </si>
  <si>
    <t xml:space="preserve">Inclusion sociale et protection des personnes</t>
  </si>
  <si>
    <t xml:space="preserve">Jeux olympiques et paralympiques d'hiver 2030</t>
  </si>
  <si>
    <t xml:space="preserve">Fonction publique</t>
  </si>
  <si>
    <t xml:space="preserve">Performance et résilience des bâtiments de l'État et de ses opérateurs</t>
  </si>
  <si>
    <t xml:space="preserve">Transformation publique</t>
  </si>
  <si>
    <t xml:space="preserve">Accès et retour à l'emploi</t>
  </si>
  <si>
    <t xml:space="preserve">Accompagnement des mutations économiques et développement de l'emploi</t>
  </si>
  <si>
    <t xml:space="preserve">Amélioration de la qualité de l'emploi et des relations du travail</t>
  </si>
  <si>
    <t xml:space="preserve">Soutien des ministères sociaux</t>
  </si>
  <si>
    <t xml:space="preserve">Navigation aérienne</t>
  </si>
  <si>
    <t xml:space="preserve">Transports aériens, surveillance et certification</t>
  </si>
  <si>
    <t xml:space="preserve">Édition et diffusion</t>
  </si>
  <si>
    <t xml:space="preserve">Électrification rurale</t>
  </si>
  <si>
    <t xml:space="preserve">Opérations de maîtrise de la demande d'électricité, de production d'électricité par des énergies renouvelables ou de production de proximité dans les zones non interconnectées</t>
  </si>
  <si>
    <t xml:space="preserve">Opérations immobilières et entretien des bâtiments de l'État</t>
  </si>
  <si>
    <t xml:space="preserve">Structures et dispositifs de sécurité routière</t>
  </si>
  <si>
    <t xml:space="preserve">Contrôle et modernisation de la politique de la circulation et du stationnement routiers</t>
  </si>
  <si>
    <t xml:space="preserve">Contribution à l'équipement des collectivités territoriales pour l'amélioration des transports en commun, de la sécurité et de la circulation routières</t>
  </si>
  <si>
    <t xml:space="preserve">Désendettement de l'État</t>
  </si>
  <si>
    <t xml:space="preserve">Développement et transfert en agriculture</t>
  </si>
  <si>
    <t xml:space="preserve">Recherche appliquée et innovation en agriculture</t>
  </si>
  <si>
    <t xml:space="preserve">France Télévisions</t>
  </si>
  <si>
    <t xml:space="preserve">ARTE France</t>
  </si>
  <si>
    <t xml:space="preserve">Radio France</t>
  </si>
  <si>
    <t xml:space="preserve">France Médias Monde</t>
  </si>
  <si>
    <t xml:space="preserve">Institut national de l'audiovisuel</t>
  </si>
  <si>
    <t xml:space="preserve">TV5 Monde</t>
  </si>
  <si>
    <t xml:space="preserve">Ministère de rattachement</t>
  </si>
  <si>
    <t xml:space="preserve">Instance</t>
  </si>
  <si>
    <t xml:space="preserve">Texte institutif</t>
  </si>
  <si>
    <t xml:space="preserve">Nombre de membres</t>
  </si>
  <si>
    <t xml:space="preserve">Coût de fonctionnement 2022 (k€)</t>
  </si>
  <si>
    <t xml:space="preserve">Coût de fonctionnement 2023 (k€)</t>
  </si>
  <si>
    <t xml:space="preserve">Coût de fonctionnement 2024 (k€)</t>
  </si>
  <si>
    <t xml:space="preserve">Réunions 2022</t>
  </si>
  <si>
    <t xml:space="preserve">Réunions 2023</t>
  </si>
  <si>
    <t xml:space="preserve">Réunions 2024</t>
  </si>
  <si>
    <t xml:space="preserve">Statut au Jaune 2026</t>
  </si>
  <si>
    <t xml:space="preserve">Page du Jaune</t>
  </si>
  <si>
    <t xml:space="preserve">Observations du Jaune</t>
  </si>
  <si>
    <t xml:space="preserve">Premier ministre</t>
  </si>
  <si>
    <t xml:space="preserve">Autorité nationale d'Audit pour les Fonds européens</t>
  </si>
  <si>
    <t xml:space="preserve">Article 60 de la Loi n° 2002-1576 du 30 décembre 2002 de finances rectificative pour 2002 Décret n° 2008-548 modifié du 11 juin 2008 relatif à la commission interministérielle de coordination des contrôles portant sur les opérations cofinancées par les fonds européens Décret n°2023- 1067 du 30 novembre 2023 relatif à l'Autorité nationale d'audit pour les Fonds européens. Arrêté du 7 janvier 2009 relatif au fonctionnement, aux moyens et à l'organisation interne de la commission interministérielle de coordination des contrôles</t>
  </si>
  <si>
    <t xml:space="preserve">en vigueur</t>
  </si>
  <si>
    <t xml:space="preserve">En 2024, cinq réunions ont été organisées, complétées par une consultation écrite.</t>
  </si>
  <si>
    <t xml:space="preserve">Comité consultatif national d'éthique du numérique</t>
  </si>
  <si>
    <t xml:space="preserve">Décret n° 2024-463 du 23 mai 2024 portant création du Comité consultatif national d'éthique du numérique</t>
  </si>
  <si>
    <t xml:space="preserve">Le CCNE du numérique est un comité créé en mai 2024. Les membres étant toujours en cours de nomination (excepté le président qui a été nommé en février 2025), il n’a pas encore commencé à fonctionner. Ses dépenses de fonctionnement restent réduites et absorbées par le CCNE santé.</t>
  </si>
  <si>
    <t xml:space="preserve">Comité de suivi des retraites</t>
  </si>
  <si>
    <t xml:space="preserve">Articles L .114-4 et R. 114-1 à R.114-6 du code de la sécurité sociale</t>
  </si>
  <si>
    <t xml:space="preserve">Les cinq membres du CSR ont cessé leurs fonctions le 31 juillet 2024. Le nouveau président a été nommé en avril 2025 et les quatre membres en mai 2025. La hausse des coûts entre 2023 et 2024 s'explique par l’augmentation des membres rémunérés (remise d’un rapport) et par la réduction des surfaces occupées en 2023.</t>
  </si>
  <si>
    <t xml:space="preserve">Comité de surveillance des investissements d'avenir</t>
  </si>
  <si>
    <t xml:space="preserve">Loi n° 2010-237 du 9 mars 2010 de finances rectificative pour 2010 Décret n° 2010-80 du 22 janvier 2010 relatif au secrétariat général pour l'investissement Décret n° 2021-9 du 7 janvier 2021 modifiant le décret n° 2010-80 du 22 janvier 2010</t>
  </si>
  <si>
    <t xml:space="preserve">En 2024, cinq réunions plénières ont été organisées. Chacune d’entre elles a été suivie d’un déjeuner, pour un coût global de 1,5 k€.</t>
  </si>
  <si>
    <t xml:space="preserve">Comité directeur de la certification en sécurité des technologies de l'information</t>
  </si>
  <si>
    <t xml:space="preserve">Décret n° 2002-535 du 18 avril 2002 relatif à l'évaluation et à la certification de la sécurité offerte par les produits et les systèmes des technologies de l'information</t>
  </si>
  <si>
    <t xml:space="preserve">Commission chargée de donner un avis sur certaines opérations relatives aux matériels aéronautiques et aux matériels d'armement complexes</t>
  </si>
  <si>
    <t xml:space="preserve">Décret n° 2024-509 du 5 juin 2024 renouvelant la commission consultative chargée de donner un avis sur certaines opérations relatives aux matériels aéronautiques et aux matériels d'armement complexes</t>
  </si>
  <si>
    <t xml:space="preserve">Commission consultative chargée d'émettre un avis sur les matériels susceptibles de porter atteinte à l'intimité de la vie privée et au secret des correspondances</t>
  </si>
  <si>
    <t xml:space="preserve">Décret n° 2024-501 du 3 juin 2024 renouvelant la commission consultative chargée d'émettre un avis sur les matériels susceptibles de porter</t>
  </si>
  <si>
    <t xml:space="preserve">Commission d'enrichissement de la langue française</t>
  </si>
  <si>
    <t xml:space="preserve">Décret n° 96-602 modifié du 3 juillet 1996 relatif à l'enrichissement de la langue française</t>
  </si>
  <si>
    <t xml:space="preserve">La commission ne supporte pas de coût spécifique.</t>
  </si>
  <si>
    <t xml:space="preserve">Commission du droit local d'Alsace- Moselle</t>
  </si>
  <si>
    <t xml:space="preserve">Décret n° 2021-1580 du 7 décembre 2021 relatif à la commission du droit local d'Alsace-Moselle.</t>
  </si>
  <si>
    <t xml:space="preserve">La commission ne supporte pas de coût spécifique car ses membres exercent leurs missions à titre gratuit. De plus, son fonctionnement est indissociable de celui de la préfecture du Bas-Rhin qui assure son secrétariat.</t>
  </si>
  <si>
    <t xml:space="preserve">Commission interministérielle de défense et de sécurité des secteurs d'activités d'importance vitale</t>
  </si>
  <si>
    <t xml:space="preserve">Articles R. 1332-10 à R. 1332-12 du code de la défense</t>
  </si>
  <si>
    <t xml:space="preserve">Commission interministérielle de la sûreté aérienne</t>
  </si>
  <si>
    <t xml:space="preserve">Articles D*. 1443-1 et D.1443-4 du code de la défense</t>
  </si>
  <si>
    <t xml:space="preserve">Commission interministérielle des biens à double usage</t>
  </si>
  <si>
    <t xml:space="preserve">Décret n° 2010-294 du 18 mars 2010 portant création d'une commission interministérielle des biens à double usage ; Décret n° 2020-367 du 26 mars 2020 portant prorogation de la commission interministérielle des biens à double usage ; Décret n° 2023-471 du 19 juin 2023 relatif à la présidence de la commission interministérielle des biens à double usage.</t>
  </si>
  <si>
    <t xml:space="preserve">Commission interministérielle pour l'étude des exportations de matériels de guerre</t>
  </si>
  <si>
    <t xml:space="preserve">Article D. 1132-53 du code de la défense Décret n° 55- 965 du 16 juillet 1955 portant réorganisation de la commission</t>
  </si>
  <si>
    <t xml:space="preserve">Commission nationale consultative des gens du voyage</t>
  </si>
  <si>
    <t xml:space="preserve">Article 10-1 de la loi n° 2000-614 du 5 juillet 2000 relative à l’accueil et à l’habitat des gens du voyage Décret n° 2015-563 du 20 mai 2015 relatif à la Commission nationale consultative des gens du voyage</t>
  </si>
  <si>
    <t xml:space="preserve">En 2024, la Commission a été très active, avec plusieurs réunions plénières (5 janvier, 27 mars, 26 juin, 23 octobre) et de nombreux groupes de travail, notamment sur le projet mémoriel de Montreuil-Bellay (7 réunions) et sur les difficultés de stationnement (2 réunions en janvier et mars, co-présidé par le ministère de l’Intérieur). Les frais engagés concernent principalement le transport et la restauration du Président et de certains membres lors des réunions, ainsi que des déplacements conjoints du Président avec la Dihal (Perpignan, Tours, Angers) et des rendez-vous avec des cabinets ministériels ou groupes de travail délocalisés. Par ailleurs, un travail préparatoire a été mené pour améliorer le fonctionnement de la Commission en vue de la nouvelle mandature qui débutera en 2026.</t>
  </si>
  <si>
    <t xml:space="preserve">Commission nationale d'orientation et d'intégration</t>
  </si>
  <si>
    <t xml:space="preserve">Articles R.* 4139-14 et suivants du code de la défense</t>
  </si>
  <si>
    <t xml:space="preserve">Commission nationale des professions foraines et circassiennes</t>
  </si>
  <si>
    <t xml:space="preserve">Décret n°2017-1501 du 27 octobre 2017 relatif à la Commission nationale des professions foraines et circassiennes Décret n°2023-7 du 6 janvier 2023 modifiant le décret n° 2017-1501 du 27 octobre 2017</t>
  </si>
  <si>
    <t xml:space="preserve">La légère évolution du budget de fonctionnement de la Commission est liée à la création de la cellule d'accompagnement individualisée à destination des circassiens, dans le cadre de l'application de la loi n° 2021-1536 du 30 novembre 2021.</t>
  </si>
  <si>
    <t xml:space="preserve">Commission pour la restitution des biens et l'indemnisation des victimes de spoliations antisémites (CIVS)</t>
  </si>
  <si>
    <t xml:space="preserve">Décret n° 2024-11 du 5 janvier 2024 instituant une commission pour la restitution des biens et l'indemnisation des victimes de spoliations antisémites et pris en application des articles L. 115-3, L. 115-4 et L. 451-10-1 du code du patrimoine</t>
  </si>
  <si>
    <t xml:space="preserve">Les coûts de fonctionnement de la commission peuvent varier en fonction du taux de présence en réunion et du calendrier de tenue des réunions.</t>
  </si>
  <si>
    <t xml:space="preserve">Commission supérieure de codification</t>
  </si>
  <si>
    <t xml:space="preserve">Articles L. 315-1 et L. 351-1-I du code des relations entre le public et l’administration ; Décret n° 89-647 du 12 septembre 1989 modifié relatif à la composition et au fonctionnement de la Commission supérieure de codification ; Article 29 de la loi n° 2018-699 du 3 août 2018 visant à garantir la présence des parlementaires dans certains organismes extérieurs au Parlement et à simplifier les modalités de leur nomination.</t>
  </si>
  <si>
    <t xml:space="preserve">Les coûts de fonctionnement de la Commission supérieure de codification (CSC) correspondent à l'indemnisation de certains de ses membres (vice- président, rapporteurs général et adjoint) et à celle des rapporteurs particuliers désignés pour coordonner les travaux, ainsi qu'aux frais de déplacement des membres pour les séances plénières. L’activité de la CSC a été très soutenue en 2024 avec 13 séances plénières (contre 8 en 2023) en présentiel consacrées au nouveau code des impositions sur les biens et</t>
  </si>
  <si>
    <t xml:space="preserve">Conseil d'analyse économique</t>
  </si>
  <si>
    <t xml:space="preserve">Décret n° 97-766 du 22 juillet 1997 portant création du Conseil d'analyse économique Décret n° 2017-14 du 6 janvier 2017 modifiant le décret n° 97-766 du 22 juillet 1997 modifié portant création du Conseil d'analyse économique Décret n° 2018-261 du 11 avril 2018 modifiant le décret n° 97-766 du 22 juillet 1997 modifié portant création du Conseil d'analyse économique</t>
  </si>
  <si>
    <t xml:space="preserve">L'augmentation constatée en 2024 est due à un versement effectué dans le cadre d'un partenariat avec l'Institut des politiques publiques relatif au programme de recherche « développement du modèle de micro simulation TAXIPP ».</t>
  </si>
  <si>
    <t xml:space="preserve">Conseil d'orientation des politiques de jeunesse</t>
  </si>
  <si>
    <t xml:space="preserve">Décret n° 2016-1377 du 12 octobre 2016 portant création du Conseil d'orientation des politiques de jeunesse</t>
  </si>
  <si>
    <t xml:space="preserve">Les coûts 2024 sont revenus à un niveau habituel. Pour mémoire, en 2023, deux séminaires spécifiques avaient été mis en place pour les membres du collège jeune et pour mettre en place une concertation avec des jeunes de l'ASE dans le cadre de la rédaction d'un rapport sur le sujet.</t>
  </si>
  <si>
    <t xml:space="preserve">Conseil d'orientation des retraites</t>
  </si>
  <si>
    <t xml:space="preserve">Articles L. 114-2 et D. 114-4- 0-1 à D. 114-4-0-4 du code de la sécurité sociale</t>
  </si>
  <si>
    <t xml:space="preserve">L’augmentation des coûts de fonctionnement constatée en 2024 s’explique, d’une part, par une évolution de la</t>
  </si>
  <si>
    <t xml:space="preserve">Conseil d'orientation pour l'emploi</t>
  </si>
  <si>
    <t xml:space="preserve">Décret n° 2005-326 du 7 avril 2005 portant création du Conseil d'orientation pour l'emploi Décret n° 2019-1087 du 25 octobre 2019 modifiant la composition du Conseil d’orientation pour l’emploi</t>
  </si>
  <si>
    <t xml:space="preserve">L’absence de réunion du COE en 2024 s’explique par plusieurs facteurs, notamment l'absence de saisine par le Gouvernement et le départ non remplacé du commissaire général de France Stratégie, qui en assurait la présidence.</t>
  </si>
  <si>
    <t xml:space="preserve">Conseil national consultatif pour la biosécurité</t>
  </si>
  <si>
    <t xml:space="preserve">Vu la loi n° 2006-450 du 18 avril 2006 modifiée de programme pour la recherche, notamment son titre IV, Décret n° 2015- 1095 du 31 août 2015 relatif au Conseil national consultatif pour la biosécurité (NOR : PRMD1519765D)</t>
  </si>
  <si>
    <t xml:space="preserve">Conseil national de la montagne</t>
  </si>
  <si>
    <t xml:space="preserve">Loi n° 85-30 du 9 janvier 1985 relative au développement et à la protection de la montagne Décret n° 2017-754 du 3 mai 2017 relatif à la composition et au fonctionnement du conseil national de la montagne</t>
  </si>
  <si>
    <t xml:space="preserve">La réunion initialement prévue en 2024 a été annulée en raison de la dissolution de l'Assemblée nationale. Lorsque le Conseil se réunit, les seules dépenses imputables concernent la location de salle ainsi que les frais de restauration des participants.</t>
  </si>
  <si>
    <t xml:space="preserve">Conseil national des politiques de lutte contre la pauvreté et l'exclusion sociale</t>
  </si>
  <si>
    <t xml:space="preserve">Articles L. 143-1, R. 143-1 à D. 143-8 du code de l'action sociale et des familles</t>
  </si>
  <si>
    <t xml:space="preserve">Le budget est stable depuis 2019 pour financer l'accompagnement logistique et méthodologique du 5ème collège malgré l'inflation</t>
  </si>
  <si>
    <t xml:space="preserve">Conseil national des villes</t>
  </si>
  <si>
    <t xml:space="preserve">Décret n° 2015-77 du 27 janvier 2015 relatif aux instances en charge de la politique de la ville</t>
  </si>
  <si>
    <t xml:space="preserve">Le nombre de réunions mentionné correspond à la tenue des assemblées plénières, dont deux ont été organisées à titre exceptionnel en distanciel. Par ailleurs, deux séminaires internes ont été organisés. La diminution progressive du budget du CNV s’explique notamment par le recours accru à des formats de réunion mixtes (présentiel/distanciel) et par l’ajustement des modalités de prise en charge des frais de déplacement des membres.</t>
  </si>
  <si>
    <t xml:space="preserve">Conseil scientifique sur les processus de radicalisation</t>
  </si>
  <si>
    <t xml:space="preserve">Article L. 123-2 du code de la sécurité intérieure Décret n° 2017-693 du 3 mai 2017 créant un conseil scientifique sur les processus de radicalisation</t>
  </si>
  <si>
    <t xml:space="preserve">Grâce à l’attribution d’un budget dédié, le Conseil a pu déployer de nombreuses actions inscrites dans sa feuille de route (RIM). Quatre réunions plénières ont été tenues, et un Plan national de formation (PNF) a été mis en œuvre avec le ministère de l’Éducation nationale, formant près de 3000 référents en région. Ce programme s’est appuyé sur</t>
  </si>
  <si>
    <t xml:space="preserve">Haut Comité pour le logement des personnes défavorisées et le suivi du droit au logement opposable</t>
  </si>
  <si>
    <t xml:space="preserve">Décret n° 2021-386 du 1er avril 2021 relatif au Haut Comité pour le logement des personnes défavorisées et le suivi du droit au logement opposable (LOGL2006338D)</t>
  </si>
  <si>
    <t xml:space="preserve">En 2024, la hausse des coûts s’explique par une augmentation des travaux d’impression.</t>
  </si>
  <si>
    <t xml:space="preserve">Haut conseil à l'égalité entre les femmes et les hommes</t>
  </si>
  <si>
    <t xml:space="preserve">Article 9-1 de la loi n° 2008- 496 du 27 mai 2008 portant diverses dispositions d'adaptation au droit communautaire dans le domaine de la lutte contre les discriminations modifiée ; - Décret n° 2013- 8 du 3 janvier 2013 portant création du Haut Conseil à l'égalité entre les femmes et les hommes ; - Décret n° 2021-921 du 9 juillet 2021 relatif à la composition et au fonctionnement du</t>
  </si>
  <si>
    <t xml:space="preserve">En 2024, l’instance n’a été active que durant quelques mois, en raison d’une période de transition liée au renouvellement de sa présidence. La nomination des membres pour la période 2025-2028 est intervenue par arrêté du 19 juin 2025 portant désignation de la présidence et des membres du Haut Conseil à l’égalité entre les femmes et les hommes.</t>
  </si>
  <si>
    <t xml:space="preserve">Haut Conseil à la vie associative</t>
  </si>
  <si>
    <t xml:space="preserve">Loi n° 2014-856 du 31 juillet 2014 relative à l'économie sociale et solidaire Décret n° 2011-773 du 28 juin 2011 relatif au Haut Conseil à la vie associative</t>
  </si>
  <si>
    <t xml:space="preserve">Le Haut conseil s’est réuni une fois en formation plénière en 2024 (il s’était réuni deux fois dans ce même format en 2022 et en 2023). Il a également tenu : - des réunions mensuelles du bureau ; - deux réunions par mois des commissions pour les travaux permanents ; - des réunions de commissions plus ponctuelles pour produire les publications du HCVA ; - des rencontres avec certains partenaires institutionnels. Sans effet sur la productivité de l'instance, les coûts de fonctionnement sont maitrisés et restent stables depuis la nouvelle prise en compte, sur le budget de l'instance, depuis 2023, de l'intervention de sténotypistes lors des commissions. Le nombre de membres ne prend pas en compte les représentants des administrations.</t>
  </si>
  <si>
    <t xml:space="preserve">Haut conseil de la famille, de l'enfance et de l'âge</t>
  </si>
  <si>
    <t xml:space="preserve">Articles L. 142-1 et D. 141-1 à D. 141-7 du code de l’action sociale et des familles</t>
  </si>
  <si>
    <t xml:space="preserve">La baisse des coûts de fonctionnement du Haut Conseil s’explique par le départ à la retraite, en mars 2024, de la secrétaire générale adjointe en charge du Conseil de l’âge, dont le remplacement n’est</t>
  </si>
  <si>
    <t xml:space="preserve">Haut conseil du financement de la protection sociale</t>
  </si>
  <si>
    <t xml:space="preserve">Articles L. 114-1 A.-I. et D. 114-0-4 du code de la sécurité sociale</t>
  </si>
  <si>
    <t xml:space="preserve">L'augmentation en 2024 est le résultat de plusieurs facteurs : - comptabilisation en année pleine de la rémunération du secrétaire général adjoint arrivé courant 2023 ; - plusieurs paiements effectués dans le cadre de projets de recherche (partenariat OCDE sur la comparaison franco- allemande en matière de protection sociale et étude sur les freins à la progression des salaires).</t>
  </si>
  <si>
    <t xml:space="preserve">Haut Conseil pour le climat</t>
  </si>
  <si>
    <t xml:space="preserve">Article 9 de la loi n° 2019- 1147 du 8 novembre 2019 relative à l'énergie et au climat Articles L. 132-4 et L. 132-5, article L. 222-1, articles D. 132-1 à D. 132-7 du code de l'environnement</t>
  </si>
  <si>
    <t xml:space="preserve">On note en 2024 une forte augmentation de la masse salariale malgré les départs du directeur et de la présidente, principalement liée au recrutement de plusieurs postes pourvus en cours d’année 2023 mais comptabilisés en année pleine en 2024, ainsi qu’aux recrutements intervenus en 2024. A cela s'ajoute une forte augmentation des frais de déplacement temporaire avec la régularisation des remboursements des frais de déplacement sur 2023 et 2024 ; et enfin une action de formation importante des agents du Haut conseil à l'évaluation des politiques publiques. Pour autant il s'agit ici davantage d'une remise à niveau après deux</t>
  </si>
  <si>
    <t xml:space="preserve">Éducation nationale, enseignement supérieur et recherche</t>
  </si>
  <si>
    <t xml:space="preserve">Comité consultatif du fonds pour le développement de la vie associative</t>
  </si>
  <si>
    <t xml:space="preserve">Loi n° 2018-699 du 3 août 2018 visant à garantir la présence des parlementaires dans certains organismes extérieurs au Parlement et à simplifier les modalités de leur nomination Décret n° 2011-2121 du 30 décembre 2011 relatif au fonds pour le développement de la vie associative Décret n° 2018- 460 du 8 juin 2018 relatif au fonds pour le développement de la vie associative</t>
  </si>
  <si>
    <t xml:space="preserve">En 2022, les réunions ont eu lieu en visio-conférence, n'entraînant pas de frais spécifiques. En 2023 le comité FDVA s'est tenu en présentiel, ce qui a engendré un coût. En 2024 il s'est tenu 6 comités FDVA, dont 5 en présentiel et 1 en visio- conférence. – NB: Un comité FDVA s'est tenu au cabinet de la ministre, en présence de la ministre, il n’y a donc pas de décompte de frais. Le maintien de la dépense par rapport à 2023 malgré l'augmentation du nombre de réunions s'explique par une rationalisation des frais de bouche.</t>
  </si>
  <si>
    <t xml:space="preserve">Comité d'histoire de l'éducation nationale</t>
  </si>
  <si>
    <t xml:space="preserve">Décision au BO n°21 du 23 mai 2019 Arrêté du 22 avril 2024, BO n°17 du 25 avril 2024</t>
  </si>
  <si>
    <t xml:space="preserve">Le coût nul pour l’année 2024 s’explique par la fin de mission de la secrétaire générale et l’arrêt de la convention de mise à disposition de bureaux au campus Condorcet.</t>
  </si>
  <si>
    <t xml:space="preserve">Comité d'histoire des ministères chargés de la jeunesse et des sports</t>
  </si>
  <si>
    <t xml:space="preserve">Arrêté du 19 avril 2007 portant création d'un comité d'histoire des ministères chargés de la jeunesse et des sports Arrêté du 3 novembre</t>
  </si>
  <si>
    <t xml:space="preserve">L'arrêté du 3 novembre 2017 instituant le Comité d'histoire des ministères chargés de la jeunesse et des sports a été modifié par un arrêté du 15 juillet 2024 qui a</t>
  </si>
  <si>
    <t xml:space="preserve">Comité ministériel de transaction</t>
  </si>
  <si>
    <t xml:space="preserve">Article 24 de la loi n° 2018- 727 du 10 août 2018 pour un Etat au service d'une société de confiance Décret n° 2018-1029 du 23 novembre 2018 relatif aux comités ministériels de transaction Arrêté du 18 février 2019 portant création et composition du comité ministériel de transaction des ministères de l'Éducation nationale et de la Jeunesse et de l'Enseignement supérieur, de la Recherche et de l'Innovation</t>
  </si>
  <si>
    <t xml:space="preserve">La commission s’est réunie une unique fois au cours de l’exercice 2024. Les charges de fonctionnement associées se limitent aux honoraires versés au cabinet d’avocats titulaire du marché de prestations juridiques, mobilisé en amont de l’examen du protocole transactionnel soumis à avis. Aucun frais de déplacement n’a été engagé, les sept membres disposant tous d’un lieu d’exercice professionnel à Paris.</t>
  </si>
  <si>
    <t xml:space="preserve">Commission d'examen des projets de règlements fédéraux relatifs aux équipements sportifs</t>
  </si>
  <si>
    <t xml:space="preserve">Décret n°2019-346 du 20 avril 2019 modifiant les dispositions du code du sport (partie réglementaire)</t>
  </si>
  <si>
    <t xml:space="preserve">L’ensemble des réunions organisées par cette commission sont réalisées en visioconférence, ce qui n’entraîne aucun coût de fonctionnement.</t>
  </si>
  <si>
    <t xml:space="preserve">Commission de reconnaissance des qualifications</t>
  </si>
  <si>
    <t xml:space="preserve">Articles R. 212-84, D. 212- 84-1 et A. 212-175-10 du code du sport</t>
  </si>
  <si>
    <t xml:space="preserve">Il y a eu le même nombre de réunions en 2024 que les années précédentes. Les membres de cette commission peuvent participer aux réunions selon un mode hybride, soit en</t>
  </si>
  <si>
    <t xml:space="preserve">Commission nationale de sécurité des enceintes sportives</t>
  </si>
  <si>
    <t xml:space="preserve">Articles R. 312-22 et suivants du code du sport Décret n° 2020-778 du 23 juin 2020 portant renouvellement de deux commissions administratives consultatives relevant du ministère des sports Décret n° 2021-1456 du 5 novembre 2021 modifiant certaines dispositions du code du sport relatives aux enceintes sportives</t>
  </si>
  <si>
    <t xml:space="preserve">Le nombre de sessions de la CNSES dépend des travaux envisagés par les propriétaires d’enceintes sportives ayant un impact sur les conditions de sécurité ou de conformité du bâti des dites enceintes.</t>
  </si>
  <si>
    <t xml:space="preserve">Commission professionnelle consultative "Sport et animation"</t>
  </si>
  <si>
    <t xml:space="preserve">Article L. 6113-3, articles R. 6113-21 à R. 6113-26 du code du travail, Décret n° 2019-958 du 13 septembre 2019 instituant les commissions professionnelles consultatives (CPC) chargées d'examiner les projets de création, de révision ou de suppression de diplômes et titres à finalité professionnelle délivrés au nom de l’État.</t>
  </si>
  <si>
    <t xml:space="preserve">L’évolution des coûts de fonctionnement est directement liée au nombre de réunions organisées.</t>
  </si>
  <si>
    <t xml:space="preserve">Commissions professionnelles consultatives instituées auprès du ministre chargé de l’éducation nationale</t>
  </si>
  <si>
    <t xml:space="preserve">Article L. 6113-4 du code du travail Décret n°2019-958 du 13 septembre 2019 instituant les commissions professionnelles consultatives chargées d'examiner les projets de création, de révision ou de suppression de diplômes et</t>
  </si>
  <si>
    <t xml:space="preserve">La hausse du coût global de fonctionnement entre 2023 et 2024 est imputable à la hausse des tarifs de prise en charge des frais de déplacement,</t>
  </si>
  <si>
    <t xml:space="preserve">Conseil d'évaluation de l'école</t>
  </si>
  <si>
    <t xml:space="preserve">Articles L. 241-12 et ss et D. 241-36 et ss du code de l'éducation</t>
  </si>
  <si>
    <t xml:space="preserve">L’essentiel des coûts de ce conseil provient des frais de déplacement (16 183€).</t>
  </si>
  <si>
    <t xml:space="preserve">Conseil national de la vie lycéenne</t>
  </si>
  <si>
    <t xml:space="preserve">Articles D. 511-59 et suivants du code de l'éducation</t>
  </si>
  <si>
    <t xml:space="preserve">Depuis 2024, les coûts comprennent les frais de déplacements en sus des frais d’hébergement, ce qui</t>
  </si>
  <si>
    <t xml:space="preserve">Conseil national des associations éducatives complémentaires de l'enseignement public</t>
  </si>
  <si>
    <t xml:space="preserve">Articles D. 551-7 à D. 551-9 et D. 551-12 du code de l'éducation</t>
  </si>
  <si>
    <t xml:space="preserve">Les coûts de fonctionnement sont indissociables de ceux du ministère. Les réunions du CNEACEP doivent se tenir pour étudier les demandes d’agréments, ce qui fait partie de la charge du travail du bureau compétent.</t>
  </si>
  <si>
    <t xml:space="preserve">Conseil scientifique de l’éducation nationale</t>
  </si>
  <si>
    <t xml:space="preserve">Décret n° 2024-671 du 3 juillet 2024 relatif au Conseil scientifique de l'éducation nationale</t>
  </si>
  <si>
    <t xml:space="preserve">L’évolution des coûts de fonctionnement du CSEN s’explique principalement par : - l’évolution de la maquette de la documentation publiée par le CSEN : 600 € - la création d’une newsletter : 24 000 € - la réalisation du site internet : 22 000 €</t>
  </si>
  <si>
    <t xml:space="preserve">Conseil supérieur de l'éducation</t>
  </si>
  <si>
    <t xml:space="preserve">Articles L. 231-1 et suivants et R. 231-1 et suivants du code de l'éducation.</t>
  </si>
  <si>
    <t xml:space="preserve">L’augmentation du coût de fonctionnement s’explique par la prise en charge en 2024 des élections lycéennes (tous les deux ans) par vote électronique.</t>
  </si>
  <si>
    <t xml:space="preserve">Conseil supérieur des programmes</t>
  </si>
  <si>
    <t xml:space="preserve">Articles L. 231-14 à L. 231-17 et D. 231-34 à D. 231-42 du code de l'éducation</t>
  </si>
  <si>
    <t xml:space="preserve">L’activité du Conseil est fortement dépendante des saisines des ministres en charge de l’éducation et du programme annuel de travail qui en résulte. Les coûts de fonctionnement du Conseil sont, ainsi, fortement liés à ces fluctuations d’activité et au nombre de réunions de l’instance nécessaires pour pouvoir répondre aux saisines des ministres, ainsi</t>
  </si>
  <si>
    <t xml:space="preserve">Conseil supérieur des sports de montagne</t>
  </si>
  <si>
    <t xml:space="preserve">Articles D. 142-26 et suivants du code du sport Décret n° 2020-778 du 23 juin 2020 portant renouvellement de deux commissions administratives consultatives relevant du ministère des sports</t>
  </si>
  <si>
    <t xml:space="preserve">Le conseil a été renouvelé pour 3 ans à compter du 8 juin 2023 par le décret n°2023-406 du 24 mai 2023.</t>
  </si>
  <si>
    <t xml:space="preserve">Haut conseil de l'éducation artistique et culturelle</t>
  </si>
  <si>
    <t xml:space="preserve">Articles L. 312-8 et D. 312-7 et suivants du code de l'éducation</t>
  </si>
  <si>
    <t xml:space="preserve">Le Haut conseil de l'éducation artistique et culturelle ne s’est pas réuni de 2022 à 2024.</t>
  </si>
  <si>
    <t xml:space="preserve">Comité consultatif pour l'enseignement supérieur privé</t>
  </si>
  <si>
    <t xml:space="preserve">Articles L. 732-3 et D. 732- 5 et suivants du code de l'éducation</t>
  </si>
  <si>
    <t xml:space="preserve">Aucune réunion ne s'est tenue pendant l'année 2024, les travaux du comité ayant été suspendus momentanément</t>
  </si>
  <si>
    <t xml:space="preserve">Comité d'expertise des utilisations confinées d'organismes génétiquement modifiés</t>
  </si>
  <si>
    <t xml:space="preserve">Article L. 532-1 et article D. 532-4 du code de l'environnement</t>
  </si>
  <si>
    <t xml:space="preserve">En 2024, la diminution des coûts de 4 k€ s'explique par l'absence de missions extérieures du président du comité (congrès internationaux, réunions de travail) ainsi que par la réalisation d'une réunion en visioconférence (aucun frais de déplacement des membres).</t>
  </si>
  <si>
    <t xml:space="preserve">Comité de suivi des cycles licence master et doctorat</t>
  </si>
  <si>
    <t xml:space="preserve">Arrêté du 3 mars 2017 relatif au comité de suivi des cycles licence master et doctorat</t>
  </si>
  <si>
    <t xml:space="preserve">Les coûts de fonctionnement du CSLMD pour l'année 2024 ont fortement baissé et correspondent aux petits- déjeuners de 10 séances en mixte présentiel-distanciel (2 séances n'ayant pas donné lieu à petit-déjeuner) et d'un repas de clôture organisé le 11/07 pour remercier les partenaires et les membres du CSLMD de leur investissement et leur implication.</t>
  </si>
  <si>
    <t xml:space="preserve">Comité éthique et scientifique de la plateforme Parcoursup et Mon Master</t>
  </si>
  <si>
    <t xml:space="preserve">Loi n° 2018-166 du 8 mars 2018 relative à l'orientation et à la réussite des étudiants Arrêté du 7 juin 2024 relatif aux missions, à la composition et aux modalités de fonctionnement du comité éthique et scientifique Parcoursup et Mon Master</t>
  </si>
  <si>
    <t xml:space="preserve">Les réunions ont essentiellement été organisées en distanciel. Par ailleurs, les membres sont ponctuellement amenés à se déplacer en région mais tous ne demandent pas systématiquement une prise en charge de leurs déplacements. C'est pour cela que le coût de fonctionnement reste stable et modique en regard de l'importance et de la qualité du travail réalisé depuis 8 ans.</t>
  </si>
  <si>
    <t xml:space="preserve">Commission chargée d'émettre un avis sur les diplômes étrangers dont</t>
  </si>
  <si>
    <t xml:space="preserve">Décret n° 90-255 du 22 mars 1990 fixant la liste des</t>
  </si>
  <si>
    <t xml:space="preserve">Le coût de fonctionnement est en baisse en 2024, du fait du</t>
  </si>
  <si>
    <t xml:space="preserve">Commission consultative nationale des instituts universitaires de technologie et des instituts universitaires professionnalisés</t>
  </si>
  <si>
    <t xml:space="preserve">Arrêté du 19 avril 1995 relatif à la commission consultative nationale des instituts universitaires de technologie et des instituts universitaires professionnalisés Décret n°2020-631 du 25 mai 2020 portant renouvellement pour une durée de cinq ans à compter du 8 juin 2020.</t>
  </si>
  <si>
    <t xml:space="preserve">7 réunions de la CCN-IUT ont été organisées en 2024 : 3 en distanciel et 4 en présentiel (2 en 2023). Le coût de fonctionnement a donc été doublé. La hausse du nombre de réunions en présentiel est justifiée par la nature des travaux effectués par cette commission qui a été renouvelée et installée en février 2024.</t>
  </si>
  <si>
    <t xml:space="preserve">Commission consultative pour la formation professionnelle des experts-comptables</t>
  </si>
  <si>
    <t xml:space="preserve">Décret n° 2012-432 du 30 mars 2012 relatif à l'exercice de l'activité d'expertise comptable</t>
  </si>
  <si>
    <t xml:space="preserve">Le coût de fonctionnement est en baisse en 2024, du fait du recours plus important au mode hybride lors des réunions.</t>
  </si>
  <si>
    <t xml:space="preserve">Commission d'évaluation des formations et diplômes de gestion</t>
  </si>
  <si>
    <t xml:space="preserve">Décret n° 2001-295 du 4 avril 2001 portant création de la commission d’évaluation des formations et diplômes de gestion. Décret n° 2020- 631 du 25 mai 2020 portant renouvellement pour cinq ans à compter du 8 juin 2020.</t>
  </si>
  <si>
    <t xml:space="preserve">L’augmentation observée entre 2023 et 2024 s’explique par une participation plus importante des membres aux séances de la commission. Les membres se sont davantage déplacés pour assister aux séances, générant des frais de déplacement.</t>
  </si>
  <si>
    <t xml:space="preserve">Commission des titres d'ingénieurs</t>
  </si>
  <si>
    <t xml:space="preserve">Articles L. 642-3 et L. 642-4 du code de l'éducation</t>
  </si>
  <si>
    <t xml:space="preserve">Sont comptabilisées les réunions de séances plénières se tenant en présentiel sur 2 jours consécutifs ainsi que les séances plénières qui se sont tenues sur une seule journée en distanciel (5 en 2024).</t>
  </si>
  <si>
    <t xml:space="preserve">Commission nationale des études de maïeutique, médecine, odontologie et pharmacie</t>
  </si>
  <si>
    <t xml:space="preserve">Décret n° 2015-813 du 3 juillet 2015 relatif à la Commission nationale des études de maïeutique, médecine, odontologie et pharmacie</t>
  </si>
  <si>
    <t xml:space="preserve">Les réunions se tiennent uniquement en visioconférence, expliquant le coût de fonctionnement nul.</t>
  </si>
  <si>
    <t xml:space="preserve">Commission nationale pour la protection des animaux utilisés à des fins scientifiques</t>
  </si>
  <si>
    <t xml:space="preserve">Articles R. 214-130 et suivants du code rural et de la pêche maritime Dénomination (commission nationale de l'expérimentation animale - CNEA) modifiée par l'article 1 du décret n° 2020-274 du 17 mars 2020. Décret n° 2020-631 du 25 mai 2020.</t>
  </si>
  <si>
    <t xml:space="preserve">Une réunion programmée a été annulée en 2024 car le Comité national de réflexion éthique, composante de la Commission, n'avait pu être renouvelé dans les temps. Les dépenses ont augmenté car plusieurs membres de la nouvelle mandature résident loin de Paris, ce qui a pour effet d’augmenter les frais de déplacement.</t>
  </si>
  <si>
    <t xml:space="preserve">Conférence de prévention étudiante</t>
  </si>
  <si>
    <t xml:space="preserve">Article L. 162-1-12-1 du code de la sécurité sociale Arrêté du 12 décembre 2018 fixant la composition et le fonctionnement de la conférence de prévention étudiante</t>
  </si>
  <si>
    <t xml:space="preserve">La conférence de prévention étudiante a été réunie le 31 mars 2024 dans les locaux du MESR.</t>
  </si>
  <si>
    <t xml:space="preserve">Conseil national de l'enseignement supérieur et de la recherche</t>
  </si>
  <si>
    <t xml:space="preserve">Articles L. 232-1et D. 232-1 et suivants du code de l’éducation</t>
  </si>
  <si>
    <t xml:space="preserve">Pour l'année 2024, 15 réunions ont été organisées en présentiel, dont 8 commissions permanentes (CP), 3 Cneser "pléniers" et 4 Cneser "accréditations". L’augmentation du coût de fonctionnement s’explique par le retour à des réunions en présentiel avec prise en charge de frais de déplacement et de restauration. Les coûts sont similaires à ceux de 2019. En décembre 2024, s'y ajoutent des frais de fonctionnement de 1 908 € résultant d'un report de</t>
  </si>
  <si>
    <t xml:space="preserve">Conseil national de la culture scientifique, technique et industrielle</t>
  </si>
  <si>
    <t xml:space="preserve">Décret n° 2012-572 du 24 avril 2012 relatif au conseil national de la culture scientifique, technique et industrielle</t>
  </si>
  <si>
    <t xml:space="preserve">Il n’y a eu aucune réunion en 2024, car les ministres chargés de la recherche n’ont pas convoqué ces instances.</t>
  </si>
  <si>
    <t xml:space="preserve">Conseil national des astronomes et physiciens</t>
  </si>
  <si>
    <t xml:space="preserve">Décret n° 86-433 du 12 mars 1986 modifié relatif au Conseil national des astronomes et des physiciens</t>
  </si>
  <si>
    <t xml:space="preserve">Contrairement à l'année 2023, le coût de fonctionnement pour l'année 2024 n’intègre pas les frais de déplacement des membres du CNAP, dont le montant ne sera exceptionnellement connu qu'à la fin de l'année 2025.</t>
  </si>
  <si>
    <t xml:space="preserve">Conseil national des universités pour les disciplines de santé</t>
  </si>
  <si>
    <t xml:space="preserve">Décret n° 92-70 du 16 janvier 1992 relatif au Conseil national des universités Décret n° 87-31 du 20 janvier 1987 relatif au Conseil national des universités pour les disciplines de santé</t>
  </si>
  <si>
    <t xml:space="preserve">La hausse du coût de fonctionnement en 2024 est essentiellement due à une forte hausse du montant des frais de mission remboursés aux établissements d’enseignement supérieur en 2024 au titre des déplacements effectués en 2023 par les membres du CNU. Ils s’expliquent par l’augmentation des tarifs de transport ferroviaire et la hausse réglementaire des forfaits d’hébergement, ainsi que par un nombre plus important de réunions en 2023 pour l’installation des sections suite aux élections de fin 2023 et, en 2024, par des déplacements plus nombreux</t>
  </si>
  <si>
    <t xml:space="preserve">Conseil stratégique de la recherche</t>
  </si>
  <si>
    <t xml:space="preserve">Article L. 120-1 du code de la recherche - Décret n° 2013-943 du 21 octobre 2013 relatif au Conseil stratégique de la recherche</t>
  </si>
  <si>
    <t xml:space="preserve">Conseils scientifiques en médecine, pharmacie et odontologie</t>
  </si>
  <si>
    <t xml:space="preserve">Articles R. 632-3, D. 633-2 et R. 634-2 du code de l'éducation Arrêté du 3 avril 2017 relatif à l'organisation et au fonctionnement des conseils scientifiques en médecine, en odontologie et en pharmacie.</t>
  </si>
  <si>
    <t xml:space="preserve">De nouveaux membres ont été recrutés par les présidents des conseils scientifiques pour renforcer les groupes d'experts dans leur travail de rédaction des épreuves. De plus, les réunions se sont davantage tenues en présentiel, nécessitant des déplacements d'experts venant des universités non franciliennes et des frais de transport associés.</t>
  </si>
  <si>
    <t xml:space="preserve">Observatoire national de la vie étudiante</t>
  </si>
  <si>
    <t xml:space="preserve">Arrêté du 14 février 1989 relatif à l'Observatoire de la vie étudiante</t>
  </si>
  <si>
    <t xml:space="preserve">Les réunions se sont tenues en présentiel. Le conseil et le collège scientifique se sont réunis 2 fois chacun. En 2023, l’OVE a produit une enquête sur les conditions de vie des étudiants (CDV 2023). L’OVE fait cette enquête tous les trois ans (environ 300 000€). La réunion de début d’année n’a pas eu lieu car l’OVE a été très occupé par la diffusion des résultats de cette enquête. Une conférence de presse pour la diffusion des résultats de l’enquête conditions de vie a été organisée en février 2024.</t>
  </si>
  <si>
    <t xml:space="preserve">Conseil consultatif de l'île de La Passion-Clipperton</t>
  </si>
  <si>
    <t xml:space="preserve">Décret n° 2023-1182 du 13 décembre 2023 relatif à l'administration de l'île de La Passion-Clipperton</t>
  </si>
  <si>
    <t xml:space="preserve">Créé par décret le 13 décembre 2023, le conseil consultatif de l’île de La Passion-Clipperton ne s’est pas encore réuni en réunion plénière. La réunion inaugurale de l’instance est prévue en 2025.</t>
  </si>
  <si>
    <t xml:space="preserve">Comité d’orientation stratégique de l’Agence du travail d'intérêt général et de l'insertion professionnelle des personnes placées sous main de justice</t>
  </si>
  <si>
    <t xml:space="preserve">Décret n° 2018-1098 du 7 décembre 2018 portant création d'un service à compétence nationale dénommé « Agence du travail d'intérêt général et de l'insertion professionnelle des personnes placées sous main de justice »</t>
  </si>
  <si>
    <t xml:space="preserve">Le COS de l'ATIGIP continue d’être actif sous la présidence du directeur de l'administration pénitentiaire. Comme chaque année, il se réunit à raison de deux fois par an.</t>
  </si>
  <si>
    <t xml:space="preserve">Comité ministériel de transaction (justice)</t>
  </si>
  <si>
    <t xml:space="preserve">Article 24 de la loi n° 2018- 727 du 10 août 2018 pour un Etat au service d'une société de confiance Décret n° 2018-1029 du 23 novembre 2018 relatif aux comités ministériels de transaction Arrêté du 7 octobre 2019 portant création et composition du comité ministériel de transaction du ministère de la justice</t>
  </si>
  <si>
    <t xml:space="preserve">Le coût de fonctionnement est nul car il est indissociable du fonctionnement normal du ministère. Ses membres, des fonctionnaires, sont appelés à siéger au titre de leurs fonctions. Le secrétariat est quant à lui assuré de manière accessoire par des agents permanents assurant de nombreuses autres missions à teneur juridique. En outre, aucune réunion n’a été organisée en 2024 car aucune transaction supérieure au seuil de 500 000 euros n’a été conclue au titre de l’année 2024.</t>
  </si>
  <si>
    <t xml:space="preserve">Commission chargée d'agréer les personnes habilitées à effectuer des missions d'identification par empreintes génétiques dans le cadre de procédures judiciaires</t>
  </si>
  <si>
    <t xml:space="preserve">Décret n° 97-109 du 6 février 1997 relatif aux conditions d'agrément des personnes habilitées à procéder à des</t>
  </si>
  <si>
    <t xml:space="preserve">L’augmentation des coûts est attribuable à une participation en présentiel accrue de la part des membres qui résident en</t>
  </si>
  <si>
    <t xml:space="preserve">Commission de proposition aux offices vacants d'avocat au Conseil d'Etat et à la Cour de cassation</t>
  </si>
  <si>
    <t xml:space="preserve">Décret n° 91-1125 du 28 octobre 1991 relatif aux conditions d'accès à la profession d'avocat au Conseil d'Etat et à la Cour de cassation. Commission renouvelée par le décret n° 2021-665 du 26 mai 2021 relatif à certaines commissions administratives à caractère consultatif relevant du ministère de la justice et du ministère de l'enseignement supérieur, de la recherche et de l'innovation JUST2036619D</t>
  </si>
  <si>
    <t xml:space="preserve">La commission prévue à l’article 28 du décret n°91- 1125 du 28 octobre 1991 relatif aux conditions d'accès à la profession d'avocat au Conseil d'Etat et à la Cour de cassation donne son avis pour deux types d’opérations : les nominations sur office vacant et les nominations sur office créé. Si cette commission n’a pas eu l’occasion de se réunir en 2024 pour une nomination sur un office vacant (ce qui ne s’est pas présenté depuis sa création), celle-ci se réunit pour chaque création d'office d'avocat aux conseils. Pour 2024, elle ne s'est pas réunie car elle suit le rythme biannuel du calendrier de publication de l'avis de l'Autorité de la concurrence. Ainsi, à la suite de la publication du nouvel avis n°25-A-06 du 16 avril 2025 de l'Autorité de la concurrence, elle devrait se réunir dans le courant de cette année, si des candidatures sont transmises à la Chancellerie d'ici le 21 juin 2025 pour la création d'un office. Cette commission ne génère pas de coût particulier.</t>
  </si>
  <si>
    <t xml:space="preserve">Commission de surveillance et de contrôle des publications destinées à l'enfance et à l'adolescence</t>
  </si>
  <si>
    <t xml:space="preserve">Loi n° 49-956 du 16 juillet 1949 sur les publications destinées à la jeunesse. Décret n° 50-143 du 1er février 1950 portant règlement d'administration publique pour l'exécution de la loi n° 49-956 du 16 juillet 1949 sur les publications destinées à la jeunesse.</t>
  </si>
  <si>
    <t xml:space="preserve">L’augmentation des coûts de la commission en 2024 s’explique par l’augmentation des tarifs postaux.</t>
  </si>
  <si>
    <t xml:space="preserve">Commission nationale d'inscription et de discipline des administrateurs judiciaires et des mandataires judiciaires</t>
  </si>
  <si>
    <t xml:space="preserve">Articles L. 814-1 et R. 814-1 et suivants du code de commerce</t>
  </si>
  <si>
    <t xml:space="preserve">La commission nationale d'inscription et de discipline des administrateurs judiciaires et des mandataires judiciaires (CNIDAJMJ) siège en moyenne 1 fois/mois. Ses membres sont rétribués forfaitairement (entre 80 et 300 euros en fonction de leur rôle) pour chaque séance lors de laquelle ils siègent, et remboursés de leurs dépenses de transport. La variation d'une année à l'autre s'explique par ces frais de déplacement qui varient en fonction de la résidence des membres (qui viennent de toute la France) et du nombre de séances auxquelles ils siègent.</t>
  </si>
  <si>
    <t xml:space="preserve">Conseil national de l'aide juridique</t>
  </si>
  <si>
    <t xml:space="preserve">Loi n° 91-647 du 10 juillet 1991 relative à l’aide juridique Décret n° 91-1266 du 19 décembre 1991 portant application de la loi n° 91-647 du 10 juillet 1991 relative à l'aide juridique</t>
  </si>
  <si>
    <t xml:space="preserve">Le coût de fonctionnement est nul car il est indissociable du fonctionnement du ministère.</t>
  </si>
  <si>
    <t xml:space="preserve">Conseil national de la médiation</t>
  </si>
  <si>
    <t xml:space="preserve">Article 45 de la loi n°2021- 1729 du 22 décembre 2021 pour la confiance dans l’institution judiciaire Articles 21-6 et 21-7 de la loi du n° 95-125 du 8 février 1995 relative à l'organisation des juridictions et à la procédure civile, pénale et administrative Décret n° 2022-1353 du 25 octobre 2022 relatif à la composition et aux modalités de fonctionnement du Conseil national de la médiation Arrêté du 25 mai 2023 portant nomination au Conseil national de la médiation"</t>
  </si>
  <si>
    <t xml:space="preserve">Le CNM a été installé par le garde des Sceaux le 12 juin 2023. Dès cette date, ses travaux ont été amorcés et ils ont pu prendre leur plein essor pendant l’année 2024. En décembre 2024, le Conseil a élaboré son premier rapport d’étape contenant de premières pistes de réflexion et préconisations qui ont largement été commentées, partagées entre les différents acteurs de la médiation, sur les différents réseaux publics et professionnels. Ainsi, 11 réunions dont 7 commissions permanentes et 4 réunions plénières se sont tenues durant l’année 2024. Les membres suppléants ont également été invités à participer aux plénières, s’ils le souhaitaient, afin de pouvoir nourrir les réflexions communes.</t>
  </si>
  <si>
    <t xml:space="preserve">Conseil national des tribunaux de commerce</t>
  </si>
  <si>
    <t xml:space="preserve">Articles L. 721-8 et R. 721-7 et suivants du code de commerce</t>
  </si>
  <si>
    <t xml:space="preserve">Le CNTC a été renouvelé par arrêté du 18 octobre 2024. Une seule assemblée générale s'est tenue le 19/12/2024, ce qui s'explique par la fin de la mandature 2020-2024. Au 9 juillet 2025, 6 réunions s’étaient déjà tenues au sein des commissions de la nouvelle mandature.</t>
  </si>
  <si>
    <t xml:space="preserve">Intérieur</t>
  </si>
  <si>
    <t xml:space="preserve">Commission compétente pour l'attribution de la qualité d'officier de police judiciaire aux militaires de la gendarmerie et aux fonctionnaires du corps d'encadrement et d'application de la police nationale</t>
  </si>
  <si>
    <t xml:space="preserve">Articles 16, 16-2, 16-3 et R. 3 à R. 10 du code de procédure pénale</t>
  </si>
  <si>
    <t xml:space="preserve">La très forte progression du nombre de candidats passant l'examen et du nombre de centres d’examen a eu pour effet de multiplier les vacations et les déplacements en métropole des membres du jury technique pour assurer les épreuves orales.</t>
  </si>
  <si>
    <t xml:space="preserve">Commission consultative des établissements de jeux</t>
  </si>
  <si>
    <t xml:space="preserve">Articles R. 321-8 à R. 321-12 du code de la sécurité intérieure</t>
  </si>
  <si>
    <t xml:space="preserve">Les coûts de fonctionnement de la commission consultative des établissements de jeux sont stables. Ils varient légèrement en fonction du nombre de dossiers examinés et de leur nature (55 dossiers pour 159 vacations en 2023 contre 64 dossiers pour 194 vacations en 2024).</t>
  </si>
  <si>
    <t xml:space="preserve">Commission consultative des polices municipales</t>
  </si>
  <si>
    <t xml:space="preserve">Articles L. 514-1 et R. 514-1 à R. 514-11 du code de la sécurité intérieure</t>
  </si>
  <si>
    <t xml:space="preserve">La commission consultative des polices municipales ne s'est pas réunie en 2024. Elle le sera nécessairement en 2025, suite aux travaux parlementaires visant à renforcer les pouvoirs de la police municipale.</t>
  </si>
  <si>
    <t xml:space="preserve">Commission de recours contre les décisions de refus de visa d'entrée en France</t>
  </si>
  <si>
    <t xml:space="preserve">Articles D. 312-3 et suivants du code de l’entrée et du séjour des étrangers et du droit</t>
  </si>
  <si>
    <t xml:space="preserve">Les coûts de fonctionnement correspondent aux indemnités des membres pour leur participation aux</t>
  </si>
  <si>
    <t xml:space="preserve">Commission nationale consultative de prévention des violences lors des manifestations sportives</t>
  </si>
  <si>
    <t xml:space="preserve">Articles L. 332-18 et R. 332- 10 et suivants du code du sport</t>
  </si>
  <si>
    <t xml:space="preserve">La commission nationale consultative de prévention des violences lors des manifestations sportives ne s'est pas réunie en 2024.</t>
  </si>
  <si>
    <t xml:space="preserve">Commission nationale consultative des catastrophes naturelles</t>
  </si>
  <si>
    <t xml:space="preserve">Décret n° 2022-1737 du 30 décembre 2022 relatif à l'indemnisation des catastrophes naturelles</t>
  </si>
  <si>
    <t xml:space="preserve">La commission ne s'est pas réunie en 2024.</t>
  </si>
  <si>
    <t xml:space="preserve">Commission nationale d'examen des circuits de vitesse</t>
  </si>
  <si>
    <t xml:space="preserve">Articles R. 331-35 à R. 331- 44 du code du sport</t>
  </si>
  <si>
    <t xml:space="preserve">En 2024, les membres de la commission se sont réunis à 9 reprises et ont réalisé 12 visites de circuits permettant la publication de 11 arrêtés préfectoraux.</t>
  </si>
  <si>
    <t xml:space="preserve">Commission nationale de protection et de réinsertion</t>
  </si>
  <si>
    <t xml:space="preserve">Article 706-63-1 du code de procédure pénale Décret n° 2014-346 du 17 mars 2014 relatif à la protection des personnes mentionnées à l'article 706-63-1 du code de procédure pénale bénéficiant d'exemptions ou de réductions de peines</t>
  </si>
  <si>
    <t xml:space="preserve">Le coût des réunions de la commission nationale de protection et de réinsertion est intégralement financé par le budget de l'Agence de gestion et de recouvrement des avoirs saisis et confisqués, qui est dédié à la mise en œuvre des programmes de protection au bénéfice de "repentis", témoins menacés ou victimes de traite des êtres humains jugés éligibles. Par ailleurs, le nombre annuel de réunions varie en fonction du nombre de cas que la commission nationale de protection et de réinsertion</t>
  </si>
  <si>
    <t xml:space="preserve">Commission nationale des experts en automobile</t>
  </si>
  <si>
    <t xml:space="preserve">Articles L. 326-5, R. 326-14 et D. 326-15 du code de la route</t>
  </si>
  <si>
    <t xml:space="preserve">En 2024, la commission s'est réunie à deux reprises sans coûts de fonctionnement.</t>
  </si>
  <si>
    <t xml:space="preserve">Commission pour la désignation des agents des services fiscaux des catégories A et B habilités à effectuer des enquêtes judiciaires</t>
  </si>
  <si>
    <t xml:space="preserve">Articles 28-2 et R. 15-33-29- 5 et suivants du code de procédure pénale</t>
  </si>
  <si>
    <t xml:space="preserve">Les réunions plénières ont lieu dans des salles mises à disposition gracieusement par l'administration, et il n'y a pas de frais de déplacement de ses membres.</t>
  </si>
  <si>
    <t xml:space="preserve">Commission technique consultative sur les demandes d'agrément des dispositifs de nouvelles technologies et de transports de fonds</t>
  </si>
  <si>
    <t xml:space="preserve">Articles R. 613-47 et R. 613- 57 du code de la sécurité intérieure</t>
  </si>
  <si>
    <t xml:space="preserve">Il n'y a pas eu d'évolution des coûts de fonctionnement en 2024. L’organisation de la commission ne génère pas de frais et les réunions se déroulent dans les locaux du ministère de l'intérieur.</t>
  </si>
  <si>
    <t xml:space="preserve">Conférence nationale des services d'incendie et de secours</t>
  </si>
  <si>
    <t xml:space="preserve">Articles L. 1424-4-1 et R. 1424-59 à R. 1424-68 du code général des collectivités territoriales</t>
  </si>
  <si>
    <t xml:space="preserve">Le coût des réunions de la commission est nul en 2024 suite à la décision de ne plus faire appel à un service de sténotypie.</t>
  </si>
  <si>
    <t xml:space="preserve">Conseil national de la sécurité routière</t>
  </si>
  <si>
    <t xml:space="preserve">Article L. 130-10 du code de la route Décret n° 2001- 784 du 28 août 2001 portant création du conseil national de la sécurité routière et modifiant le décret n° 75-360 du 15 mai 1975 relatif au comité interministériel de la sécurité routière</t>
  </si>
  <si>
    <t xml:space="preserve">Les coûts de fonctionnement correspondent à la dernière réunion plénière de l'instance en décembre 2023. Le conseil ne s'est pas réuni en 2024 en raison de la modification de sa composition suite à la fin du mandat 2021-2024. Le décret de nomination des députés membres, retardé par les élections législatives anticipées, a été signé le 29 avril 2025.</t>
  </si>
  <si>
    <t xml:space="preserve">Conseil national des sapeurs- pompiers volontaires</t>
  </si>
  <si>
    <t xml:space="preserve">Articles L. 723-21 et D. 723- 64 à D. 723-72 du code de la sécurité intérieure</t>
  </si>
  <si>
    <t xml:space="preserve">Les coûts de fonctionnement correspondent à l'accueil des membres.</t>
  </si>
  <si>
    <t xml:space="preserve">Conseil supérieur de l'éducation routière</t>
  </si>
  <si>
    <t xml:space="preserve">Articles D. 214-1 et suivants du code de la route</t>
  </si>
  <si>
    <t xml:space="preserve">L'augmentation des coûts de fonctionnement est liée à l'organisation de réunions supplémentaires en raison de l'absence de réunion en 2023.</t>
  </si>
  <si>
    <t xml:space="preserve">Travail, santé, solidarités et familles</t>
  </si>
  <si>
    <t xml:space="preserve">Centre national des soins palliatifs et de la fin de vie</t>
  </si>
  <si>
    <t xml:space="preserve">Décret n° 2016-5 du 5 janvier 2016 portant création du Centre national des soins palliatifs et de la fin de vie</t>
  </si>
  <si>
    <t xml:space="preserve">Seulement deux réunions se sont déroulées en 2024 car une commission d’expertise avait initialement été programmée en décembre 2024 puis finalement reportée en février 2025. Les 1,3M€ correspondent au budget de fonctionnement courant du CNSPFV, qui n’a pas bénéficié de crédits supplémentaires, comme en 2023 (avec le financement d’une étude exploratoire et d’un poste temporaire de chargé de projet).</t>
  </si>
  <si>
    <t xml:space="preserve">Comité chargé de la simplification et de la qualité des déclarations des données sociales</t>
  </si>
  <si>
    <t xml:space="preserve">Décret n° 2023-1385 du 29 décembre 2023 relatif aux modalités de vérification et de correction des déclarations sociales nominatives (article D. 133- 8 et suivants du code de la sécurité sociale) Arrêté du 29 janvier 2024 relatif au comité chargé de la simplification et de la qualité des déclarations des données sociales.</t>
  </si>
  <si>
    <t xml:space="preserve">Ce comité s’est réuni trois fois en 2024. Il est composé de 81 membres, pour un coût de fonctionnement nul.</t>
  </si>
  <si>
    <t xml:space="preserve">Comité consultatif national de l'enseignement des jeunes sourds</t>
  </si>
  <si>
    <t xml:space="preserve">Arrêté du 20 août 1987 instituant un comité consultatif national de l'enseignement des jeunes sourds.</t>
  </si>
  <si>
    <t xml:space="preserve">La diminution du nombre de réunions à partir de l’année 2023 s’explique par le départ de l’un des deux inspecteurs pour jeunes sourds et la</t>
  </si>
  <si>
    <t xml:space="preserve">Comité de sélection des laboratoires de biologie médicale de référence</t>
  </si>
  <si>
    <t xml:space="preserve">Article D. 6211-19 du code de la santé publique, créé par le décret n° 2016-1989 du 30 décembre 2016 fixant les missions et les modalités de désignation des laboratoires de biologie médicale de référence.</t>
  </si>
  <si>
    <t xml:space="preserve">La baisse des coûts de fonctionnement (-34%) s'explique par une baisse de la masse salariale due à une réduction des ETP en corrélation avec l'activité de la commission qui se réunit exclusivement en distanciel.</t>
  </si>
  <si>
    <t xml:space="preserve">Comité de suivi de la réforme 100% Santé</t>
  </si>
  <si>
    <t xml:space="preserve">Décret n° 2019-21 du 11 janvier 2019 visant à garantir un accès sans reste à charge à certains équipements d'optique, aides auditives et soins prothétiques dentaires</t>
  </si>
  <si>
    <t xml:space="preserve">Le comité de suivi du 100% santé ne s'est pas réuni en 2024. Le comité n’a pas vocation à se réunir à une fréquence annuelle, dès lors qu’il doit pouvoir disposer d’un recul suffisant pour l’évaluation du dispositif, d’autant que celui-ci est encore en période de montée en charge.</t>
  </si>
  <si>
    <t xml:space="preserve">Comité du dialogue social pour les questions européennes et internationales</t>
  </si>
  <si>
    <t xml:space="preserve">Décret n° 98-1080 du 30 novembre 1998 portant création d'un comité du dialogue social pour les questions européennes et internationales.</t>
  </si>
  <si>
    <t xml:space="preserve">Aucun coût n’est pris en charge par les ministères sociaux, sachant que lorsque les CDSEI se déroulent en mixte présentiel/distanciel, une salle du ministère est utilisée.</t>
  </si>
  <si>
    <t xml:space="preserve">Comité économique de l'hospitalisation publique et privée</t>
  </si>
  <si>
    <t xml:space="preserve">Article L. 162-21-3 du code de la sécurité sociale ; Article D. 162-10-1 du code de la sécurité sociale, créé par le décret n° 2020-1687 du 23 décembre 2020 relatif à la composition et au fonctionnement du comité économique de</t>
  </si>
  <si>
    <t xml:space="preserve">Les coûts de fonctionnement se justifient par l'organisation de six instances et la rédaction d'un rapport. Le tout a mobilisé environ 64 jours/agent</t>
  </si>
  <si>
    <t xml:space="preserve">Comité économique des produits de santé</t>
  </si>
  <si>
    <t xml:space="preserve">Article L. 162-17-3, D. 162-2- 1 et suivants du code de la sécurité sociale</t>
  </si>
  <si>
    <t xml:space="preserve">Stabilité de l'organisation et du financement par rapport à 2023</t>
  </si>
  <si>
    <t xml:space="preserve">Comité national de l'organisation sanitaire et sociale</t>
  </si>
  <si>
    <t xml:space="preserve">Loi n° 91-748 du 31 juillet 1991 modifiée portant réforme hospitalière ; Articles L. 6121-7, L. 6121-8 et L. 6121-11 du code de la santé publique.</t>
  </si>
  <si>
    <t xml:space="preserve">L'instance est composée d'une section sociale et d'une section sanitaire. Pour la section sociale, 1 séance plénière s’est déroulée en 2024 pour un coût de fonctionnement de 7 913,25 euros. Le secrétariat de la section sociale du CNOSS représente 20 % de la masse salariale d'un agent de catégorie A en charge du secrétariat de la section sociale. Pour la section sanitaire, 8 réunions plénières se sont déroulées en 2024 pour un coût de fonctionnement de 123 554 euros. Les coûts de fonctionnement intègrent désormais un nouveau calcul de valorisation de la masse salariale (123 554€) correspondant au temps de travail consacré à la préparation des comités et à la rédaction des notes à l’attention du ministre sur les recours hiérarchiques. La section sanitaire a mobilisé un ETP B à 70% pour le secrétariat, un ETP A en qualité de chargée de mission, deux ETP A+ à 5% chacun en tant qu’encadrants supérieurs non valorisés précédemment. La quotité</t>
  </si>
  <si>
    <t xml:space="preserve">Comité national pour l'emploi</t>
  </si>
  <si>
    <t xml:space="preserve">Article 4 de la loi n° 2023- 1196 du 18 décembre 2023 pour le plein emploi. Décret n° 2024-252 du 22 mars 2024 relatif au Comité national pour l'emploi</t>
  </si>
  <si>
    <t xml:space="preserve">Le Comité national pour l'emploi a été créé par la loi du 18 décembre 2023 pour le plein emploi et a été installé le 11 avril 2024. Aucune dépense n'a donc été réalisée en 2023. En 2024, le Comité national pour l'emploi s'est réuni lors de : - 4 séances plénières ; - 4 réunions du Bureau du CNE ; - 10 réunions des commissions thématiques qui sont organisées pour mettre en œuvre les différents travaux. La masse salariale dédiée exclusivement à l'organisation de l'instance en 2024 est la suivante : t 25% d'un agent administrateur de l'Etat sur 12 mois et 50% d'un agent attaché territorial de l'Etat sur 4 mois</t>
  </si>
  <si>
    <t xml:space="preserve">Comité stratégique des données de santé</t>
  </si>
  <si>
    <t xml:space="preserve">Article R. 1461-10 du code de la santé publique ; Arrêté du 29 juin 2021 portant création du comité stratégique des données de santé.</t>
  </si>
  <si>
    <t xml:space="preserve">L’année 2024 a été marquée par la forte mobilisation de l’ensemble des acteurs (ministères et membres du comité stratégique) dans l’élaboration de la stratégie nationale des données de santé. Ce travail s’étant déroulé sur l’ensemble de</t>
  </si>
  <si>
    <t xml:space="preserve">Commission consultative de suivi des conséquences des essais nucléaires</t>
  </si>
  <si>
    <t xml:space="preserve">Article 7 de la loi n° 2010-2 du 5 janvier 2010 relative à la reconnaissance et à l'indemnisation des victimes des essais nucléaires français ; Décret n° 2014-1049 du 15 septembre 2014 relatif à la reconnaissance et à l'indemnisation des victimes des essais nucléaires français.</t>
  </si>
  <si>
    <t xml:space="preserve">Les remaniements ministériels successifs ont eu pour conséquence de reporter, à plusieurs reprises, la réunion de cette commission. A titre d'information, une réunion a eu lieu le 1er avril 2025 au ministère de la santé à Paris.</t>
  </si>
  <si>
    <t xml:space="preserve">Commission consultative nationale d'agrément des établissements de formation en chiropraxie et en ostéopathie</t>
  </si>
  <si>
    <t xml:space="preserve">Décret n° 2020-518 du 4 mai 2020 modifiant le décret n° 2018-90 du 13 février 2018 relatif à l'agrément des établissements de formation en chiropraxie et portant fusion de commissions administratives à caractère consultatif</t>
  </si>
  <si>
    <t xml:space="preserve">La séance tenue en 2024 a demandé des travaux relatifs à la complétude des dossiers, à l’analyse du contenu des pièces des dossiers, à la préparation, à l’animation des séances et aux suites des séances (rédaction de documents et décisions). L’augmentation du coût est due à l’inclusion de dépenses RH qui n’étaient jusqu’ici pas comptabilisées.</t>
  </si>
  <si>
    <t xml:space="preserve">Commission consultative relative aux régimes de sécurité sociale des ministres des cultes et membres des congrégations religieuses</t>
  </si>
  <si>
    <t xml:space="preserve">Articles L. 382-15 et R. 382- 58 à R. 382-69 du code de la sécurité sociale</t>
  </si>
  <si>
    <t xml:space="preserve">La commission consultative des cultes instituée par la loi n° 78-4 du 2 janvier 1978 relative aux régimes d’assurance maladie, maternité, invalidité et vieillesse applicables aux ministres du culte et aux membres des associations, congrégations et collectivités religieuses permet principalement au ministre chargé de la sécurité sociale de recueillir son avis sur la qualité cultuelle d’associations ayant</t>
  </si>
  <si>
    <t xml:space="preserve">Commission d'évaluation de la sous- déclaration des accidents du travail et des maladies professionnelles</t>
  </si>
  <si>
    <t xml:space="preserve">Articles L. 176-1 et L. 176-2 du code de la sécurité sociale ; Arrêté du 14 février 2011 relatif à la composition de la commission prévue à l'article L. 176-2 du code de la sécurité sociale ; Arrêté du 5 décembre 2016 relatif à la composition de la commission prévue à l'article L. 176-2 du code de la sécurité sociale.</t>
  </si>
  <si>
    <t xml:space="preserve">Commission de labellisation du label diversité</t>
  </si>
  <si>
    <t xml:space="preserve">Article 1er du décret n° 2008-1344 du 17 décembre 2008 relatif à la création d'un label en matière de promotion de la diversité et de prévention des discriminations dans le cadre de la gestion des ressources humaines et à la mise en place d'une commission de labellisation ; Décret n° 2019-296 du 9 avril 2019 relatif à la commission de labellisation du label diversité ; Décret n° 2024- 328 du 10 avril 2024</t>
  </si>
  <si>
    <t xml:space="preserve">En 2024, la Commission a été réunie 8 fois. La baisse du nombre de réunions depuis 2022 s’explique par la densification du nombre de demandes examinées par séance. Les coûts de fonctionnement intègrent la masse salariale (à hauteur de 30 540 €) correspondant à la valorisation du temps de travail consacré à la préparation des commissions par les 2 agentes concernées (1 chargée de mission, 1 apprentie). Ces coûts sont restés stables entre 2022 et</t>
  </si>
  <si>
    <t xml:space="preserve">Commission de référencement des services et outils numériques au catalogue de service de l'espace numérique de santé</t>
  </si>
  <si>
    <t xml:space="preserve">Article R. 1111-38 du code de la santé publique, tel que modifié par l'article 2 du décret n° 2021-1048 du 4 août 2021 relatif à la mise en œuvre de l'espace numérique de santé ; Arrêté du 24 février 2022 relatif à la composition et au fonctionnement de la commission de référencement des services et outils numériques au catalogue de service de l'espace numérique de santé (SSAD2206388A).</t>
  </si>
  <si>
    <t xml:space="preserve">L'usage en constante augmentation de "Mon espace santé" incite les éditeurs à se faire référencer dans l'outil, les candidatures sont donc plus nombreuses en 2024 qu'en 2023, justifiant l’augmentation du nombre de réunions. Par ailleurs, les membres de la commission ont été aussi plus présents dans plus de séances dont le montant des indemnisations lié à leur participation est plus importante également.</t>
  </si>
  <si>
    <t xml:space="preserve">Commission des comptes de la sécurité sociale</t>
  </si>
  <si>
    <t xml:space="preserve">Articles L. 114-1 et D. 114-1 et suivants du code de la sécurité sociale</t>
  </si>
  <si>
    <t xml:space="preserve">Stabilité de la fréquence et des conditions de réunion.</t>
  </si>
  <si>
    <t xml:space="preserve">Commission d’accès des personnes nées d’une assistance médicale à la procréation aux données des tiers donneurs</t>
  </si>
  <si>
    <t xml:space="preserve">Article 5 de la loi n° 2021- 1017 du 2 août 2021 relative à la bioéthique ; Décret n° 2022-1187 du 25 août 2022 relatif à l’accès aux données non identifiantes et à l’identité du tiers donneur pris en application de l’article 5 de la loi n° 2021-1017 du 2 août 2021 relative à la bioéthique et portant modification des dispositions relatives à l’assistance médicale à la procréation.</t>
  </si>
  <si>
    <t xml:space="preserve">La diminution d'environ 10% des coûts de fonctionnement de la CAPADD entre 2023 et 2024 tient pour l'essentiel à la réduction de 60% de la quotité de travail d'un des quatre agents du secrétariat général de la commission.</t>
  </si>
  <si>
    <t xml:space="preserve">Commission nationale d'agrément des associations représentant les</t>
  </si>
  <si>
    <t xml:space="preserve">Articles L. 1114-1 et R. 1114- 5 à R. 1114-8 du code de la santé publique</t>
  </si>
  <si>
    <t xml:space="preserve">La baisse des coûts de fonctionnement (-33%) s'explique par une baisse de</t>
  </si>
  <si>
    <t xml:space="preserve">Commission nationale d'agrément des conventions collectives des établissements et services sociaux et médico-sociaux à but non lucratif</t>
  </si>
  <si>
    <t xml:space="preserve">Articles L. 314-6, R. 314-197 et R. 314-198 du code de l'action sociale et des familles.</t>
  </si>
  <si>
    <t xml:space="preserve">Il n'y a pas d'évolution des coûts de fonctionnement de l'instance.</t>
  </si>
  <si>
    <t xml:space="preserve">Commission nationale de biologie médicale</t>
  </si>
  <si>
    <t xml:space="preserve">Article L. 6213-12 et R. 6213-15 à R. 6213-27 du code de la santé publique</t>
  </si>
  <si>
    <t xml:space="preserve">Pour l’année 2024 le coût de fonctionnement comprend la masse salariale suivante : 10% d’un ETP chargé de mission, 6 jours/agent pour un poste de chargé de mission + 0,5 jour/agent pour un chef de bureau.</t>
  </si>
  <si>
    <t xml:space="preserve">Commission nationale de conciliation des conflits collectifs de travail</t>
  </si>
  <si>
    <t xml:space="preserve">Articles L. 2522-1 à L. 2522- 7, articles R. 2522-3, R. 2522-4, R. 2522-8, R. 2522- 13 et suivants du code du travail.</t>
  </si>
  <si>
    <t xml:space="preserve">Commission nationale de la négociation collective de l'emploi et de la formation professionnelle</t>
  </si>
  <si>
    <t xml:space="preserve">Articles L. 2271-1 à L. 2272- 2, R. 2272-1 à R.2272-16 du code du travail.</t>
  </si>
  <si>
    <t xml:space="preserve">En 2024, la CNNCEFP s'est réunie 4 fois en formation plénière. Les coûts de fonctionnement de l’instance sont évalués à 13 590 euros. L'écart en la matière par rapport à l'année précédente s'explique par une évolution de la méthodologie de calcul des coûts, qui conduit désormais à intégrer, au prorata, les coûts de masse salariale, y compris pour les agents dont le temps de travail n’est pas intégralement dédié à la gestion de l’instance</t>
  </si>
  <si>
    <t xml:space="preserve">Commission nationale des accidents médicaux</t>
  </si>
  <si>
    <t xml:space="preserve">Articles L. 1142-10, L. 1142- 11 et R. 1142-24 à R. 1142-29</t>
  </si>
  <si>
    <t xml:space="preserve">L’année 2024 est marquée par une légère augmentation</t>
  </si>
  <si>
    <t xml:space="preserve">Commission professionnelle consultative cohésion sociale et santé</t>
  </si>
  <si>
    <t xml:space="preserve">Article 3 du décret n° 2019- 958 du 13 septembre 2019 instituant des commissions professionnelles consultatives chargées d'examiner les projets de création, de révision ou de suppression de diplômes et titres à finalité professionnelle délivrés au nom de l’État.</t>
  </si>
  <si>
    <t xml:space="preserve">Le nombre de réunions et les coûts sont stables par rapport aux années précédentes.</t>
  </si>
  <si>
    <t xml:space="preserve">Commissions professionnelles consultatives</t>
  </si>
  <si>
    <t xml:space="preserve">Articles L. 6113-3, R. 6113-21 à R. 6113-26 du code du travail ; Décret n° 2019-958 du 13 septembre 2019 instituant les commissions professionnelles consultatives chargées d'examiner les projets de création, de révision ou de suppression de diplômes et titres à finalité professionnelle délivrés au nom de l’État.</t>
  </si>
  <si>
    <t xml:space="preserve">Entre 2023 et 2024, le coût de fonctionnement diminue, passant de 758 000 euros à 581 000 euros. Cette diminution s'explique par la baisse du nombre de réunions organisées (48 en 2024 contre 76 en 2023), liée à un recul du nombre de révisions de titres professionnels avec modifications (49 en 2024 contre 57 en 2023). Certaines révisions ont été validées sans modification (23 titres professionnel) après analyse des données de veille sur le secteur</t>
  </si>
  <si>
    <t xml:space="preserve">Conférence nationale de santé</t>
  </si>
  <si>
    <t xml:space="preserve">Articles L. 1411-3 et D. 1411- 37 et suivants du code de la santé publique</t>
  </si>
  <si>
    <t xml:space="preserve">La diminution du nombre de réunions plénières traduit de manière très imparfaite l'activité de la CNS dans la mesure où sa commission permanente dispose de pouvoirs délibératifs équivalents en cas d'urgence. Cette formation s'est réunie 11 fois en 2024. Par ailleurs, l’année 2024 a été marquée par la constitution d'un groupe de travail sur la santé buccodentaire qui s'est réuni environ 40 fois et d’un groupe de travail sur la santé dans les outre-mer occasionnant plusieurs déplacements du président.</t>
  </si>
  <si>
    <t xml:space="preserve">Conseil d'orientation sur les conditions de travail</t>
  </si>
  <si>
    <t xml:space="preserve">Articles L. 4641-1 à L.4641- 3, R. 4641-1 à R.4641-14 du code du travail.</t>
  </si>
  <si>
    <t xml:space="preserve">L’année 2024 a vu la poursuite des travaux liés à la mise en œuvre de plusieurs dispositifs structurants prévus par la loi du 2 août 2021. Le cadre de la prévention en santé au travail a été profondément renouvelé avec la mise en œuvre, désormais presque achevée, de la loi du 2 août 2021. Cette évolution explique la diminution du nombre de réunions du COCT en 2024 par rapport à 2023 et 2022. Le COCT mobilise par ailleurs un ETP A+ à 20 % et un ETP A à 50 %.</t>
  </si>
  <si>
    <t xml:space="preserve">Conseil national consultatif des personnes handicapées</t>
  </si>
  <si>
    <t xml:space="preserve">Articles L. 146-1 et D. 146-1 à D. 146-12 du code de</t>
  </si>
  <si>
    <t xml:space="preserve">Les coûts ont augmenté du fait notamment de</t>
  </si>
  <si>
    <t xml:space="preserve">Conseil national de l'urgence hospitalière</t>
  </si>
  <si>
    <t xml:space="preserve">Décret n° 2012-1138 du 9 octobre 2012 relatif au Conseil national de l'urgence hospitalière</t>
  </si>
  <si>
    <t xml:space="preserve">Le travail de fond conséquent réalisé sur les processus et l’organisation a rendu nécessaire l’accroissement de la mobilisation de la masse salariale (4 jours/agent de chargé de mission au lieu de 2 jours/agent en 2023), ce qui explique la légère augmentation des frais de fonctionnement, avec un nombre d’instances annuelles inchangé.</t>
  </si>
  <si>
    <t xml:space="preserve">Conseil national de pilotage des agences régionales de santé</t>
  </si>
  <si>
    <t xml:space="preserve">Articles L. 1433-1, D. 1433-1 et suivants du code de la santé publique</t>
  </si>
  <si>
    <t xml:space="preserve">Conseil national du syndrome immunodéficitaire acquis et des hépatites virales chroniques</t>
  </si>
  <si>
    <t xml:space="preserve">Articles L. 3121-3 et D. 3121-1 à D. 3121-14 du code de la santé publique</t>
  </si>
  <si>
    <t xml:space="preserve">La baisse des coûts de fonctionnement de 15% entre 2023 et 2024 s'explique par une légère baisse de masse salariale (- 4%) qui constitue l'essentiel des coûts, et des dépenses courantes moindres, notamment de sténographie (-81%).</t>
  </si>
  <si>
    <t xml:space="preserve">Conseil supérieur de la Fonction publique hospitalière</t>
  </si>
  <si>
    <t xml:space="preserve">Articles L. 245-1 à L. 245-3 du code général de la fonction publique ; Décret</t>
  </si>
  <si>
    <t xml:space="preserve">Les 20 CSFPH (dont 1 commission formations professionnelles et 6</t>
  </si>
  <si>
    <t xml:space="preserve">Conseil supérieur de la prud'homie</t>
  </si>
  <si>
    <t xml:space="preserve">Articles L. 1431-1 et L. 1431- 2, R. 1431-1 à R. 1431-16 du code du travail.</t>
  </si>
  <si>
    <t xml:space="preserve">En 2024, le Conseil supérieur de la prud'homie CSP a tenu 5 réunions plénières en présentiel. Il a été consulté sur des textes portant sur l'organisation et le fonctionnement des conseils de prud'hommes ainsi qu'à des questions de procédure prud'homales. Dans ce cadre ont fait notamment l'objet d'examen de l'instance : les 2 désignations complémentaires, le rapport d'évaluation sur l'impact du barème d'indemnisation pour les licenciements sans cause réelle et sérieuse, le bilan de la formation des conseillers prud'hommes, le rôle du défenseur des droits dans la procédure prud'homale et la préparation des opérations de renouvellement des conseils de prud'hommes de 2025</t>
  </si>
  <si>
    <t xml:space="preserve">Conseil supérieur des personnels médicaux, odontologistes et pharmaceutiques des établissements publics de santé</t>
  </si>
  <si>
    <t xml:space="preserve">Articles L. 6156-4 à L. 6156- 7, R. 6156-1 à R. 6156-41 du code de la santé publique</t>
  </si>
  <si>
    <t xml:space="preserve">Les 12 réunions du CSPM (dont 4 commissions des statuts) tenues en 2024 ont mobilisé (nouvelle estimation au coût réel) : 39 jours/agent pour un poste de chargé de</t>
  </si>
  <si>
    <t xml:space="preserve">Haut conseil de la santé publique</t>
  </si>
  <si>
    <t xml:space="preserve">Articles L. 1411-4, L. 1411-5, R. 1411-46 à R. 1411-58 du code de la santé publique</t>
  </si>
  <si>
    <t xml:space="preserve">Les moyens humains dévolus au HCSP par la DGS, ont été renforcés afin de créer un groupe de travail permanent "Sécurité sanitaire de l'eau" (GTP Sec Eau), qui a pour missions d'établir des recommandations sur les mesures de gestion des risques sanitaires dans le domaine de l'eau et de fournir au commanditaire des analyses prospectives et des recommandations pragmatiques.</t>
  </si>
  <si>
    <t xml:space="preserve">Haut conseil des professions paramédicales</t>
  </si>
  <si>
    <t xml:space="preserve">Articles D. 4381-1 à D. 4381-6 du code de la santé publique</t>
  </si>
  <si>
    <t xml:space="preserve">Les 10 réunions du HCPP tenues en 2024 ont mobilisé (nouvelle estimation au coût réel) : 30 jours/agent en chargé de mission, 8 jours/agent en chef de bureau et adjoint, 5 jours/agent en adjoint de sous-directeur et sous- directeur. A ces effectifs s’ajoutent pour l’ensemble des sous-directions de la DGOS environ 80 jours/agent en chargés de mission (temps alloués à la préparation de la présentation de chacun des textes au HCPP).</t>
  </si>
  <si>
    <t xml:space="preserve">Haut Conseil du dialogue social</t>
  </si>
  <si>
    <t xml:space="preserve">Articles L. 2122-11 et L. 2122-13, R*. 2122-1 à R*. 2122-5 du code du travail.</t>
  </si>
  <si>
    <t xml:space="preserve">Le HCDS s'est réuni à cinq reprises durant l'année 2024, dont une séance dédiée à l'outre-mer. Neuf arrêtés de</t>
  </si>
  <si>
    <t xml:space="preserve">Haut conseil du travail social</t>
  </si>
  <si>
    <t xml:space="preserve">Article D. 142-1 à D. 142-4 du code de l'action sociale et des familles.</t>
  </si>
  <si>
    <t xml:space="preserve">La baisse des coûts de fonctionnement se justifie par la baisse du recours aux prestations intellectuelles par rapport à l’année 2023 (prestation d’étude).</t>
  </si>
  <si>
    <t xml:space="preserve">Haut conseil pour l'avenir de l'assurance maladie</t>
  </si>
  <si>
    <t xml:space="preserve">Article 72 de la loi n° 2005- 1579 du 19 décembre 2005 de financement de la sécurité sociale pour 2006 ; Décret n° 2006-1370 du 10 novembre 2006 relatif à la composition et au fonctionnement du Haut Conseil pour l'avenir de l'assurance maladie.</t>
  </si>
  <si>
    <t xml:space="preserve">La réduction des coûts de fonctionnement de l’instance s'explique d'une part par le report à 2025 du règlement de services de bureautique, et d'autre part par un moindre engagement de financements de conventions de recherche en 2024 (deux études pluriannuelles ayant été engagées en 2023).</t>
  </si>
  <si>
    <t xml:space="preserve">Observatoire national de la démographie des professions de santé</t>
  </si>
  <si>
    <t xml:space="preserve">Décret n° 2010-804 du 13 juillet 2010 relatif aux missions de l'observatoire national de la démographie des professions de santé</t>
  </si>
  <si>
    <t xml:space="preserve">L’évolution du coût de fonctionnement pour 2024 est liée à la commande d’une prestation extérieure pour un travail de comparaison européenne, en vue de la conférence nationale prévue en 2025.</t>
  </si>
  <si>
    <t xml:space="preserve">Observatoire national du suicide</t>
  </si>
  <si>
    <t xml:space="preserve">Décret n° 2018-688 du 1er août 2018 portant création</t>
  </si>
  <si>
    <t xml:space="preserve">La baisse importante des coûts de fonctionnement par rapport à l’année 2023</t>
  </si>
  <si>
    <t xml:space="preserve">Économie, finances, souveraineté industrielle et numérique</t>
  </si>
  <si>
    <t xml:space="preserve">Autorité de la Statistique Publique</t>
  </si>
  <si>
    <t xml:space="preserve">Article 144 de la loi de modernisation de l'économie du 4 août 2008. Décret n° 2009-250 du 3 mars 2009 relatif à l'Autorité de la statistique publique.</t>
  </si>
  <si>
    <t xml:space="preserve">La baisse en 2024 s’explique par l’organisation en 2023 d’un séminaire / colloque avait engendré une hausse ponctuelle des coûts de fonctionnement.</t>
  </si>
  <si>
    <t xml:space="preserve">Comité consultatif de la législation et de la réglementation financières</t>
  </si>
  <si>
    <t xml:space="preserve">Articles L. 614-2, D. 614-2 et D. 614-3 du code monétaire et financier (reproduits dans les articles L. 411-2, R. 411-2 et R. 411-3 du code des assurances)</t>
  </si>
  <si>
    <t xml:space="preserve">Le coût quasi-nul s’explique par le fait que cette instance regroupe des membres non rémunérés, qui sont des représentants d’associations professionnelles et de consommateurs, de l’administration, des assemblées, ou des personnalités qualifiées bénévoles. 14,.37 euros ont été engagés pour la réalisation des chevalets des membres et experts présents lors des réunions physiques en 2024.</t>
  </si>
  <si>
    <t xml:space="preserve">Comité consultatif du secteur financier</t>
  </si>
  <si>
    <t xml:space="preserve">Articles L. 614-1, D. 614-1 et D. 614-3 du code monétaire et financier (reproduits aux articles L. 411-1, R. 411-2 et R. 411-3 du code des assurances)</t>
  </si>
  <si>
    <t xml:space="preserve">Le nombre plus élevé de réunions est dû à la mise en place, au sein du CCSF, de l’Observatoire des produits d'épargne financière, qui est chargé de suivre l'évolution des performances et des frais des produits d'épargne financière en application de la loi n° 2023-973 du 23 octobre 2023 relative à l'industrie verte.</t>
  </si>
  <si>
    <t xml:space="preserve">Comité consultatif national de règlement amiable des différends relatifs aux marchés publics</t>
  </si>
  <si>
    <t xml:space="preserve">Articles R. 2197-1 à D. 2197- 22 du code de la commande publique</t>
  </si>
  <si>
    <t xml:space="preserve">Le coût de fonctionnement agrège les indemnités annuelles du président et du vice-président ainsi que les vacations des rapporteurs pour les 8 séances. L’augmentation des coûts de fonctionnement en 2024 est consécutive à la revalorisation des indemnités forfaitaires annuelles et du taux des vacations horaires opérée par l’un arrêté du 6 mars 2024</t>
  </si>
  <si>
    <t xml:space="preserve">Comité de l'abus de droit fiscal</t>
  </si>
  <si>
    <t xml:space="preserve">Articles L. 64 et L.64 A du livre des procédures fiscales. Articles 1653 C, 1653 D et 1653 E du code général des impôts.</t>
  </si>
  <si>
    <t xml:space="preserve">Lorsque cela est possible, le comité de l'abus de droit se réunit toute la journée, sur une amplitude horaire élargie, afin d'examiner un nombre plus important de dossiers. Cette solution permet de rationaliser les coûts fixes en limitant le nombre de séances. En effet, l'indemnité versée aux membres est calculée en fonction du nombre de séances auxquelles ils participent. La rationalisation du nombre des séances n'a toutefois pas d'effet sur les coûts variables, car l'indemnité versée aux rapporteurs est calculée en fonction du nombre de dossiers instruits. Ainsi, l'augmentation du nombre de dossiers par séance génère corrélativement une augmentation du coût global de chaque séance, mais permet une baisse du coût</t>
  </si>
  <si>
    <t xml:space="preserve">Comité de suivi et de propositions de la convention visant à améliorer l'accès à l'emprunt et à l'assurance des personnes présentant un risque de santé aggravé</t>
  </si>
  <si>
    <t xml:space="preserve">Articles L. 1141-2 à L. 1141-6 du code de la santé publique (reproduits dans le code des assurances, le code de la mutualité et le code de la sécurité sociale) - Loi n° 2007-131 du 31 janvier 2007 relative à l'accès au crédit des personnes présentant un risque aggravé de santé (article 1er et suivants)</t>
  </si>
  <si>
    <t xml:space="preserve">Les réunions du CSP ne donnent lieu à aucun frais dans la mesure où il n’y a pas d’indemnité versée aux membres de la Commission, aucun frais de déplacement ou de logistique, et ce d’autant plus que les réunions étaient organisées en visio-conférence.</t>
  </si>
  <si>
    <t xml:space="preserve">Comité des achats des établissements publics de l'Etat</t>
  </si>
  <si>
    <t xml:space="preserve">Article 10 du décret n° 2009-300 du 17 mars 2009 portant création du service des achats de l'Etat (article 10) modifié par l’article 2 du décret n°2013-623 du 16 juillet 2013 modifié par le décret n° 2016-247 du 3 mars 2016 créant la direction des achats de l'Etat et relatif à la gouvernance des achats de l'Etat</t>
  </si>
  <si>
    <t xml:space="preserve">Pas de coût associé au comité des achats des établissements public de l’Etat.</t>
  </si>
  <si>
    <t xml:space="preserve">Comité du contentieux fiscal, douanier et des changes</t>
  </si>
  <si>
    <t xml:space="preserve">article 20 de la loi n°77- 1453 du 29 décembre 1977 accordant des garanties de procédure aux contribuables en matière fiscale et douanière Articles 460 et suivants du code des douanes Articles 396 ter A et s. du code général des impôts annexe 2</t>
  </si>
  <si>
    <t xml:space="preserve">L’évolution des coûts de fonctionnement est corrélée à l’accroissement du nombre de dossiers examinés.</t>
  </si>
  <si>
    <t xml:space="preserve">Comité du secret statistique</t>
  </si>
  <si>
    <t xml:space="preserve">Loi n° 51-711 du 7 juin 1951 sur l'obligation, la coordination et le secret en matière de statistiques. Décret n° 2009-318</t>
  </si>
  <si>
    <t xml:space="preserve">Loi n° 2018-727 du 10 août 2018 pour un Etat au service d'une société de confiance (article 24) Décret n° 2018-1029 du 23 novembre 2018 relatif aux comités ministériels de transaction</t>
  </si>
  <si>
    <t xml:space="preserve">Pas de coût associé.</t>
  </si>
  <si>
    <t xml:space="preserve">Comité pour les métaux stratégiques</t>
  </si>
  <si>
    <t xml:space="preserve">Décret n° 2011-100 du 24 janvier 2011 portant création du comité pour les métaux stratégiques Décret n° 2020-848 du 2 juillet 2020 relatif à certaines commissions administratives à caractère consultatif relevant du ministère de l'économie et des finances</t>
  </si>
  <si>
    <t xml:space="preserve">Pas d'évolution des coûts qui restent nuls.</t>
  </si>
  <si>
    <t xml:space="preserve">Commission consultative relative au refus d'agrément pour déduction fiscale</t>
  </si>
  <si>
    <t xml:space="preserve">Deuxième alinéa du 2 du III de l’article 217 undecies du code général des impôts dans sa rédaction issue de l’article 31 de la loi de programme pour l’outre- mer n° 2003-660 du 21 juillet 2003 Articles 46 quaterdecies V et 46 quaterdecies W de l’annexe III au code général des impôts</t>
  </si>
  <si>
    <t xml:space="preserve">Les membres de cette instance ne sont pas rémunérés.</t>
  </si>
  <si>
    <t xml:space="preserve">Commission d'examen des pratiques commerciales</t>
  </si>
  <si>
    <t xml:space="preserve">Articles L. 440-1 et D. 440-1 et suivants du code de commerce</t>
  </si>
  <si>
    <t xml:space="preserve">L'évolution du coût de fonctionnement en 2024 s'explique par la prise en compte de la part de la masse salariale de l'agent du ministère dédié à l'activité de la commission. Les coûts réels de fonctionnement pour l'année 2024 se décomposent ainsi : part de la masse salariale de l'agent du ministère dédié exclusivement à l'activité de la commission 20 300€ (exprimé en brut), prestation d'impression 2274€, indemnités versées 205€, frais de déplacement 202€, prestation de reprographie 201€, frais de représentation 78€. Le montant de la masse salariale n’avait pas été pris en compte les années précédentes.</t>
  </si>
  <si>
    <t xml:space="preserve">Commission des clauses abusives</t>
  </si>
  <si>
    <t xml:space="preserve">Articles L. 822-4 et suivants et R. 822-18 à R. 822-21, R. 822-28 à R. 822-32 du code de la consommation</t>
  </si>
  <si>
    <t xml:space="preserve">Commission des comptes commerciaux de la Nation</t>
  </si>
  <si>
    <t xml:space="preserve">Décret n° 63-100 du 8 février 1963 portant création d’une commission des comptes commerciaux de la nation Décret n° 77- 297 du 27 mars 1997 portant réforme de la commission des comptes commerciaux de la nation Arrêté du 3 mai 2017 portant nomination des comptes commerciaux de la nation.</t>
  </si>
  <si>
    <t xml:space="preserve">Pas d'évolution des coûts qui sont nuls.</t>
  </si>
  <si>
    <t xml:space="preserve">Commission des garanties et du crédit au commerce extérieur</t>
  </si>
  <si>
    <t xml:space="preserve">Loi n° 49-874 du 5 juillet 1949 relative à diverses</t>
  </si>
  <si>
    <t xml:space="preserve">Le coût de ces réunions est nul car l’organisation de</t>
  </si>
  <si>
    <t xml:space="preserve">Commission interministérielle de coordination des contrôles sur les opérations et les bénéficiaires et redevables relevant des Fonds communautaires agricoles de garantie</t>
  </si>
  <si>
    <t xml:space="preserve">Décret n° 96-389 du 10 mai 1996 instituant une commission interministérielle de coordination des contrôles sur les opérations et les bénéficiaires et redevables relevant des Fonds communautaires agricoles de garantie</t>
  </si>
  <si>
    <t xml:space="preserve">Les coûts sont générés par les locaux administratif et les personnels permanents. Par ailleurs, cette commission a vocation à disparaître au 31 décembre 2026 avec la réforme de la PAC.</t>
  </si>
  <si>
    <t xml:space="preserve">Commission interministérielle de coordination des réseaux et des services de communications électroniques pour la défense et la sécurité publique</t>
  </si>
  <si>
    <t xml:space="preserve">Article D. 1334-4-2 et R 1334-2 du code de la défense NOR: PRMX0104748A</t>
  </si>
  <si>
    <t xml:space="preserve">Commission nationale des sanctions</t>
  </si>
  <si>
    <t xml:space="preserve">Articles L. 561-38 et suivants et R. 561-43 et suivants du code monétaire et financier</t>
  </si>
  <si>
    <t xml:space="preserve">A partir de 2023, le coût de fonctionnement correspond à la consommation de la dotation globale de fonctionnement (hors indemnité des membres et masse salariale).</t>
  </si>
  <si>
    <t xml:space="preserve">Commission nationale des titres- restaurant</t>
  </si>
  <si>
    <t xml:space="preserve">Articles R. 3262-36 et suivants du code du travail</t>
  </si>
  <si>
    <t xml:space="preserve">Les membres de la commission ont pris une part très active au second projet de réforme de modernisation, conduite par le ministère de l'économie et des finances. Nombre de réunions à vocation générale ou spécifique se sont tenues durant cette année 2024. Sur</t>
  </si>
  <si>
    <t xml:space="preserve">Commission nationale d’évaluation du financement des charges de démantèlement des installations nucléaires de base et de gestion des combustibles usés et des déchets radioactifs</t>
  </si>
  <si>
    <t xml:space="preserve">Articles L. 594-11 à L. 594- 13 du code de l’environnement</t>
  </si>
  <si>
    <t xml:space="preserve">Commission pour la désignation des agents des douanes des catégories A et B habilités à effectuer des enquêtes judiciaires</t>
  </si>
  <si>
    <t xml:space="preserve">Articles 28-1 et R. 15-33-1 et 15-33-2 du code de procédure pénale</t>
  </si>
  <si>
    <t xml:space="preserve">Commission supérieure du numérique et des postes</t>
  </si>
  <si>
    <t xml:space="preserve">Articles L. 125 et D. 570 à D. 593 du code des postes</t>
  </si>
  <si>
    <t xml:space="preserve">Cette La diminution du coût de fonctionnement s’explique principalement par la baisse</t>
  </si>
  <si>
    <t xml:space="preserve">Commission supérieure nationale du personnel des industries électriques et gazières</t>
  </si>
  <si>
    <t xml:space="preserve">Articles L. 161-3 et R. 161-4 à R. 161-6 du code de l’énergie</t>
  </si>
  <si>
    <t xml:space="preserve">Commissions techniques spécialisées des instruments de mesure</t>
  </si>
  <si>
    <t xml:space="preserve">Décret n° 2001-387 du 3 mai 2001 relatif au contrôle des instruments de mesure ; Arrêté du 8 mars 2002 relatif aux commissions techniques spécialisées des instruments de mesure.</t>
  </si>
  <si>
    <t xml:space="preserve">Les CTS sont composées d'un président et de membres bénévoles. Le secrétariat de ces commissions est assuré par le service chargé de la métrologie légale.</t>
  </si>
  <si>
    <t xml:space="preserve">Conseil consultatif de gestion du corps des administrateurs des postes et télécommunications</t>
  </si>
  <si>
    <t xml:space="preserve">Décret n° 94-892 du 13 octobre 1994 portant création d'un conseil consultatif de gestion du corps des administrateurs des postes et télécommunications</t>
  </si>
  <si>
    <t xml:space="preserve">Ce conseil a été supprimé par décret du 18 avril 2025</t>
  </si>
  <si>
    <t xml:space="preserve">Conseil d'orientation de la lutte contre le blanchiment de capitaux et le financement du terrorisme</t>
  </si>
  <si>
    <t xml:space="preserve">Articles D. 561-51 et suivants du code monétaire et financier</t>
  </si>
  <si>
    <t xml:space="preserve">Le coût de ces réunions est nul car l’organisation de celles-ci n’implique aucune dépense logistique. Les réunions font simplement l’objet d’une réservation de salle à Bercy et de la création d’un lien de visio-conférence. Certaines réunions ont pu avoir lieu en dehors des locaux de Bercy, dans les locaux du Conseil national de l’ordre des experts comptable (le 5 décembre 2024), de l’ACPR (le 26 avril 2024) et du Conseil National des Barreaux (le 31 janvier</t>
  </si>
  <si>
    <t xml:space="preserve">Conseil de l'immobilier de l'Etat</t>
  </si>
  <si>
    <t xml:space="preserve">Article L.4211-1 du code de la propriété des personnes publiques crée par la loi n° 2018-699 du 3 août 2018 visant à garantir la présence des parlementaires dans certains organismes extérieurs au Parlement et à simplifier les modalités de leur nomination Décret n° 2006-1267 du 16 octobre 2006 instituant un Conseil de l'immobilier de l’État modifié par le décret n° 2011-1388 du 28 octobre 2011 Décret n° 2020-454 du 20 avril 2020 modifiant la composition du Conseil de l'immobilier de l’État Abrogation de l’ancien décret du CIE remplacé par celui du 20 avril 2020 et de la publication le 14 septembre 2020 de l’arrêté portant nomination de ses membres. Décret 2021- 1296 du 5 octobre 2021 reconduisant le Conseil de l’immobilier de l’Etat (NOR : ECOZ2128143D) portant prolongation du Conseil de l’immobilier de l’Etat pour une nouvelle période de cinq ans.</t>
  </si>
  <si>
    <t xml:space="preserve">L’activité 2024 du Conseil de l’immobilier de l’Etat, bien qu’elle ait été fortement freinée par les remaniements ministériels et la dissolution de l’Assemblée nationale qui ont entraîné des annulations de séances, a été consacrée aux dossiers stratégiques de la politique immobilière de l’État, en laissant à la conférence nationale de l'immobilier public l’examen des opérations particulières ou la validation des schémas directeurs et ce, conformément à la recommandation de la Cour des cComptes (rapport décembre 2023, La politique immobilière de l’État : une réforme nécessaire pour aborder les enjeux à venir, décembre 2023). Le fil rouge conducteur 2024 des séances thématiques en 2024 a été le projet de foncière de l’Etat, de même qu’ont été traités les problématiques environnementales, le logement des agents publics, les schémas directeurs immobiliers régionaux ainsi que l’immobilier de l’Etat à l’Eétranger. Certaines séances de travail ont été publiées sur le site internet du Conseil. L'augmentation du coût de fonctionnement en 2024 correspond à un quasi-</t>
  </si>
  <si>
    <t xml:space="preserve">Conseil de normalisation des comptes publics</t>
  </si>
  <si>
    <t xml:space="preserve">Loi N° 2001-1275 du 28 décembre 2001 de finances pour 2002 (article 136) Arrêté du 28 novembre 2016 modifié par arrêté du 4 décembre 2023 relatif au conseil de normalisation des comptes publics</t>
  </si>
  <si>
    <t xml:space="preserve">Seuls les nombres des membres du Collège et des réunions du Collège ont été portés dans ce tableau, contrairement aux années précédentes où avaient été inscrits le nombre de membres des instances et de leurs réunions (commissions permanentes prévues dans le texte institutif du CNOCP). Les coûts de fonctionnement sont principalement constitués de la masse salariale des services (1,08 M€ en 2024 contre 1,22 M€ en 2023), des indemnités des membres (190 K€) et des frais de fonctionnement (14 K€). Ces coûts restent stables dans la durée.</t>
  </si>
  <si>
    <t xml:space="preserve">Conseil national de l'industrie</t>
  </si>
  <si>
    <t xml:space="preserve">Loi n° 2018-699 du 3 août 2018 visant à garantir la présence des parlementaires dans certains organismes extérieurs au Parlement et à simplifier les modalités de leur nomination. Décret</t>
  </si>
  <si>
    <t xml:space="preserve">8 réunions des groupes de travail du CNI.</t>
  </si>
  <si>
    <t xml:space="preserve">Conseil national de l'information statistique</t>
  </si>
  <si>
    <t xml:space="preserve">Loi n° 51-711 du 7 juin 1951 sur l'obligation, la coordination et le secret en matière de statistiques Décret n° 2009-318 modifié du 20 mars 2009 relatif au Conseil national de l'information statistique, au comité du secret statistique et au comité du lable de la statitique publique (articles 1er à 13 et 19)</t>
  </si>
  <si>
    <t xml:space="preserve">Ces données intègrent celles de la Commission nationale d'évaluation du recensement de la population, du comité du contentieux des enquêtes statistiques obligatoires ainsi que des données relatives au Comité du label de la statistique publique, s’agissant des missions exercées pour le compte du CNIS. Les coûts recouvrent les frais d’impression/livraison de chroniques et rapports divers, commissions et bureau du CNIS (compte rendu de réunion écrit) et séminaires (réalisation dépliant Moyen terme dans 2 langues).</t>
  </si>
  <si>
    <t xml:space="preserve">Conseil national de la consommation</t>
  </si>
  <si>
    <t xml:space="preserve">Articles D. 821-1 et suivants du code de la consommation (codification du décret n° 83-642 portant création d'un conseil national de la consommation) Arrêté du 31 mars 2021 relatif à la constitution, aux attributions et au fonctionnement du bureau du Conseil national de la consommation et au</t>
  </si>
  <si>
    <t xml:space="preserve">Conseil national du Commerce</t>
  </si>
  <si>
    <t xml:space="preserve">Décret n° 2023-461 du 14 juin 2023 relatif à la création du Conseil national du commerce.</t>
  </si>
  <si>
    <t xml:space="preserve">Conseil national du numérique</t>
  </si>
  <si>
    <t xml:space="preserve">Loi n° 2018-699 du 3 août 2018 visant à garantir la présence des parlementaires dans certains organismes extérieurs au Parlement et à simplifier les modalités de leur nomination. Décret n° 2012-1400 du 13 décembre 2012 et décret n° 2017-1677 du 8 décembre 2017 relatifs au conseil national du numérique.</t>
  </si>
  <si>
    <t xml:space="preserve">Le mandat des membres nommés en 2021 s’est officiellement terminé en septembre 2023. Sans nomination nouvelle, aucune séance plénière n’a été organisée. La nomination a eu lieu en septembre 2025. Sur ce laps de temps, le CNN a été chargé de structurer la démarche « Café IA » à l'échelle nationale, ce qui a exigé une mobilisation des équipes permanentes sur un autre mode de fonctionnement que l'organisation de réunions plénières. Ce coût de fonctionnement recouvre notamment des dépenses de maintenance du site https://www.conseil-ia- numerique.fr et des frais de mission.</t>
  </si>
  <si>
    <t xml:space="preserve">Conseil supérieur de l'énergie</t>
  </si>
  <si>
    <t xml:space="preserve">Articles L. 142-41 et D. 142- 21 à D. 142-31 du code de l’énergie.</t>
  </si>
  <si>
    <t xml:space="preserve">L'augmentation du coût de fonctionnement par rapport à l'année 2023 est dû à l’augmentation des loyers qui résulte de la révision annuelle prévue au contrat, appliquée à chaque date anniversaire.</t>
  </si>
  <si>
    <t xml:space="preserve">Conseil supérieur de la coopération</t>
  </si>
  <si>
    <t xml:space="preserve">Article 24 de la loi n° 2014- 856 du 31 juillet 2014 relative à l'économie</t>
  </si>
  <si>
    <t xml:space="preserve">Cette instance n’était pas mentionnée dans l’annexe budgétaire « commissions »</t>
  </si>
  <si>
    <t xml:space="preserve">Conseil supérieur de l’économie sociale et solidaire</t>
  </si>
  <si>
    <t xml:space="preserve">Loi n° 2014-856 du 31 juillet 2014 relative à l'économie sociale et solidaire Décret n° 2015-732 du 24 juin 2015 relatif au Conseil supérieur de l'économie sociale et solidaire</t>
  </si>
  <si>
    <t xml:space="preserve">En 2024, compte tenu des réorganisations gouvernementales de la fin d'année, la réunion plénière initialement prévue le 16 décembre n'a pas pu avoir lieu et a donc été reportée sur l'année 2025. Trois réunions plénières ont donc déjà eu lieu en 2025, dont deux depuis le renouvellement du Conseil en date du 21 avril 2025.</t>
  </si>
  <si>
    <t xml:space="preserve">Haut comité pour la transparence et l'information sur la sécurité nucléaire</t>
  </si>
  <si>
    <t xml:space="preserve">Articles L. 125-34 à L. 125- 40 et R. 125-77 à R. 125-87 du code de l'environnement</t>
  </si>
  <si>
    <t xml:space="preserve">En 2024, le haut comité a organisé 26 réunions dont 4 plénières. Aucun déplacement pour missions n'a été organisé, ce qui explique la diminution des frais par rapport aux années précédentes.</t>
  </si>
  <si>
    <t xml:space="preserve">Observatoire économique de la commande publique</t>
  </si>
  <si>
    <t xml:space="preserve">Articles R2196-2 et s. du code de la commande publique (crée par le décret n° 2018-1075 du 3 décembre 2018 portant partie réglementaire du code de la commande publique) Arrêté du 22 mars 2019 relatif au fonctionnement et à la composition de l'observatoire économique de la commande publique</t>
  </si>
  <si>
    <t xml:space="preserve">Comité ministériel de transaction des armées</t>
  </si>
  <si>
    <t xml:space="preserve">Article L. 423-2 du CRPA créé par l'article 24 de la loi n° 2018-727 du 10 août 2018 pour un État au service d'une société de confiance ; Articles R. 423- 4 et R. 423-5, D. 423-6 et D. 423-7 du CRPA créés par le décret n° 2018-1029 du 23 novembre 2018 relatif aux comités ministériels de transaction, pris pour l’application de l'article 24 précité.</t>
  </si>
  <si>
    <t xml:space="preserve">Commission armées jeunesse</t>
  </si>
  <si>
    <t xml:space="preserve">Décret n° 55-814 du 22 juin 1955 relatif aux commissions ministérielles de la jeunesse ; Arrêté du 22 novembre 1955 modifié par arrêté du 10 juillet 2012 fixant la composition et le mode de fonctionnement de la commission de la jeunesse au ministère de la défense nationale et des forces armées - pris en application du décret n° 55-814 du 22 juin 1955 relatif aux commissions ministérielles de la jeunesse.</t>
  </si>
  <si>
    <t xml:space="preserve">Fin 2023, la Commission armées-jeunesse (CAJ) a rejoint l’Académie de défense de l’école militaire (ACADEM), dont la vocation est le développement et le rayonnement de la formation, de la recherche et de la doctrine françaises en matière de défense et de sécurité. Le président de la Commission armées-jeunesse a souhaité créer, début 2024, au sein de la CAJ, un comité scientifique restreint (appelé le laboratoire jeunesse armées) pour pouvoir réfléchir sur les problématiques stratégiques jeunesse avec des regards</t>
  </si>
  <si>
    <t xml:space="preserve">Commission de déontologie des militaires</t>
  </si>
  <si>
    <t xml:space="preserve">Articles L. 4122-5, R.* 4122- 18 et R.* 4122-19 du code de la défense.</t>
  </si>
  <si>
    <t xml:space="preserve">Les coûts de fonctionnement s'expliquent par les indemnités des rapporteurs, le rappel à l'activité de 3 officiers généraux et par les frais de fonctionnement (fournitures, impressions, ouvrages et revues, etc.)</t>
  </si>
  <si>
    <t xml:space="preserve">Commission interministérielle de contrôle (Salon international de l'aéronautique et de l'espace)</t>
  </si>
  <si>
    <t xml:space="preserve">Arrêté du 30 juin 2003 relatif à la réglementation de la manifestation aérienne organisée dans le cadre du Salon international de l'aéronautique et de l'espace.</t>
  </si>
  <si>
    <t xml:space="preserve">La commission interministérielle de contrôle (Salon international de l’aéronautique et de l’espace) ne s’est pas réunie en 2024. Par ailleurs, elle a été supprimée par l’arrêté du 28 juin 2024 modifiant l'arrêté du 30 juin 2003 relatif à la réglementation de la manifestation aérienne organisée dans le cadre du Salon international de l'aéronautique et de l'espace.</t>
  </si>
  <si>
    <t xml:space="preserve">Conseil général de l'armement</t>
  </si>
  <si>
    <t xml:space="preserve">Décret n° 88-349 du 8 avril 1988 relatif au Conseil général de l'armement, codifié aux articles D. 3331- 1 et suivants du code de la défense.</t>
  </si>
  <si>
    <t xml:space="preserve">Conseil permanent des retraités militaires</t>
  </si>
  <si>
    <t xml:space="preserve">Article R. 4124-26 du code de la défense ; Arrêté du 29 août 2016 portant organisation et fonctionnement du conseil permanent des retraités militaires.</t>
  </si>
  <si>
    <t xml:space="preserve">La baisse du nombre de réunions (de 10 à 2) et du coût de fonctionnement (de 3,54k€ à 1,87k€) du CPRM entre 2023 et 2024 s’explique par un retour à une activité normale en 2024, après une année 2023 atypique. En 2023, le CPRM a mené un groupe de travail « amiante » qui l’a conduit à organiser 7 réunions sur ce thème, dont une délocalisée en région.</t>
  </si>
  <si>
    <t xml:space="preserve">Conseil scientifique de l'observatoire de la santé des vétérans</t>
  </si>
  <si>
    <t xml:space="preserve">Décret n° 2004-524 du 10 juin 2004 portant attributions et organisation de l'Observatoire de la santé des vétérans ; Décret n° 2018-785 du 12 septembre 2018 portant suppression de commissions administratives à caractère consultatif.</t>
  </si>
  <si>
    <t xml:space="preserve">L’organisation des réunions du Conseil scientifique de l’observatoire de la santé des vétérans en 2024 n’a entrainé aucun frais de déplacement. Par ailleurs, la suppression de ce conseil a été actée par le décret n° 2025-3 du 2 janvier 2025 modifiant le décret n° 2004- 524 du 10 juin 2004 portant attributions et organisation de l'Observatoire de la santé des vétérans.</t>
  </si>
  <si>
    <t xml:space="preserve">Conseil supérieur de la fonction militaire</t>
  </si>
  <si>
    <t xml:space="preserve">Article L. 4124-1 et articles R. 4124-1 à R. 4124-5 du code de la défense ; Décret n° 2016-997 du 20 juillet 2016 modifiant diverses dispositions du code de la défense relatives aux organismes consultatifs et de concertation des militaires ; Arrêté du 25 septembre 2020 fixant la composition du conseil supérieur de la fonction militaire et des conseils de la fonction</t>
  </si>
  <si>
    <t xml:space="preserve">L’augmentation de l’activité, et par conséquent, des frais de fonctionnement du Conseil supérieur de la fonction militaire s’explique : - par l’élargissement continu du périmètre des actions du conseil depuis 2023 (participations aux instances de gouvernance d’organismes liées à la condition du personnel) ; - par l’augmentation des auditions en lien avec la politique gouvernementale</t>
  </si>
  <si>
    <t xml:space="preserve">Conseil supérieur de la réserve militaire</t>
  </si>
  <si>
    <t xml:space="preserve">Articles L. 4261-1, D. 4261-1 et suivants du code de la défense</t>
  </si>
  <si>
    <t xml:space="preserve">La refonte de la commission dans le cadre de la loi de programmation militaire explique l’absence de réunion en 2024.</t>
  </si>
  <si>
    <t xml:space="preserve">Haut comité d'évaluation de la condition militaire</t>
  </si>
  <si>
    <t xml:space="preserve">Articles L. 4111-1, D. 4111-1 et suivants du code de la défense.</t>
  </si>
  <si>
    <t xml:space="preserve">Les coûts de fonctionnement du HCECM sont répartis entre les frais d’impression des rapports, les déplacements de l’ensemble du comité pour quatre grandes visites annuelles ainsi que les déplacements des membres provinciaux pour participer aux réunions plénières.</t>
  </si>
  <si>
    <t xml:space="preserve">Comité d'orientation pour le fonds stratégique pour le développement de la presse</t>
  </si>
  <si>
    <t xml:space="preserve">Décret n° 2012-484 du 13 avril 2012 modifié relatif à la réforme des aides à la presse et au fonds stratégique pour le développement de la presse et au fonds de soutien à l'émergence et à l'innovation dans la presse (décret n° 2016-1161 du 26 août 2016) Arrêté du 6 juillet 2012 fixant la composition d'orientation du fonds stratégique pour le développement de la presse</t>
  </si>
  <si>
    <t xml:space="preserve">Au total, 8 comités se sont tenus en 2024, dont 5 concernant le Fonds de soutien à l'émergence et à l'innovation dans la presse (FSEIP) et 3 concernant le Fonds stratégique pour le développement de la presse (FSDP). Le dernier comité FSDP et le dernier comité FSEIP de l'année 2023 ont été payés au début de l'année 2024, mais les deux derniers de l'année 2024 l'ont été en 2025. Les deux présidents des commissions sont rémunérés à hauteur de 300€ par commission. Nous atteignons donc 2 400€ (8 x 300€).</t>
  </si>
  <si>
    <t xml:space="preserve">Comité national de l'action sociale</t>
  </si>
  <si>
    <t xml:space="preserve">Arrêté du 20 janvier 2016 portant création du</t>
  </si>
  <si>
    <t xml:space="preserve">Aucun coût car le fonctionnement du comité</t>
  </si>
  <si>
    <t xml:space="preserve">Commission consultative des trésors nationaux</t>
  </si>
  <si>
    <t xml:space="preserve">Article L. 111-4 du code du patrimoine Article R. 111-22 à D. 111-25 du code du patrimoine Codifiant la loi n° n° 92-1477 du 31 décembre 1992 relative aux produits soumis à certaines restrictions de circulation et à la complémentarité entre les services de police, de gendarmerie et de douanes (art.7)</t>
  </si>
  <si>
    <t xml:space="preserve">Les variations annuelles, qui peuvent être grandes, s'expliquent par les fluctuations du nombre d'œuvres présentées d'une année sur l'autre, notamment de leur valeur d'assurance qui a tendance à renchérir depuis quelques années, ainsi qu’en fonction de la nécessité de prendre en charge des transports pour présentation des œuvres dans les commissions.</t>
  </si>
  <si>
    <t xml:space="preserve">Commission copie privée</t>
  </si>
  <si>
    <t xml:space="preserve">Articles L. 311-1 à L. 311-8 et R. 311-1 à R.311-12 du Code de la propriété intellectuelle. Arrêté du 14 avril 2022 portant nomination à la commission prévue à l'article L. 311-5 du code de la propriété intellectuelle</t>
  </si>
  <si>
    <t xml:space="preserve">Les coûts de fonctionnement de la commission correspondent à la seule rémunération de son président, laquelle est fixe.</t>
  </si>
  <si>
    <t xml:space="preserve">Commission d'acquisition compétente pour les musées nationaux érigés en services à compétence nationale et les musées nationaux du château de Fontainebleau, de la céramique à Sèvres et Adrien Dubouché à Limoges</t>
  </si>
  <si>
    <t xml:space="preserve">Décret n° 2016-924 du 5 juillet 2016 instituant une commission d'acquisition compétente pour les musées nationaux érigés en services à compétence nationale et les musées nationaux du château de Fontainebleau, de la céramique à Sèvres et Adrien Dubouché à Limoges</t>
  </si>
  <si>
    <t xml:space="preserve">Commission d'agrément relative à l'institution d'une garantie de l'État</t>
  </si>
  <si>
    <t xml:space="preserve">Loi n° 93-20 du 7 janvier 1993 relative à l'institution d'une garantie de l'Etat pour certaines expositions temporaires d'œuvres d'art Décret n°93-947 du 23 juillet 1993 pris pour l'application de la loi n° 93- 20 du 7 janvier 1993 relative à l'institution d'une garantie de l'Etat pour certaines expositions temporaires d'œuvres d'art</t>
  </si>
  <si>
    <t xml:space="preserve">Cette commission se réunit en fonction des projets d'expositions en cours d'organisation dans les musées nationaux. Aucune réunion de la commission n'a été nécessaire en 2024. Une réunion pourrait être organisée fin 2025.</t>
  </si>
  <si>
    <t xml:space="preserve">Commission d'évaluation des professeurs des écoles nationales supérieures d'art</t>
  </si>
  <si>
    <t xml:space="preserve">Décret n° 2002-1520 du 23 décembre 2002 fixant les dispositions statutaires applicables au corps des professeurs des écoles nationales supérieures d'art (article 8)</t>
  </si>
  <si>
    <t xml:space="preserve">Il y a eu deux réunions : l’une pour l’attribution des congés études et recherches et l’une pour des accueils en détachement.</t>
  </si>
  <si>
    <t xml:space="preserve">Commission d'évaluation scientifique des conservateurs du patrimoine</t>
  </si>
  <si>
    <t xml:space="preserve">Décret n° 2013-788 du 28 août 2013 portant statut particulier du corps des conservateurs du patrimoine (article 7)</t>
  </si>
  <si>
    <t xml:space="preserve">Il n’y a pas de coût spécifique car le fonctionnement du comité est indissociable du fonctionnement du ministère.</t>
  </si>
  <si>
    <t xml:space="preserve">Commission de classification des œuvres cinématographiques</t>
  </si>
  <si>
    <t xml:space="preserve">Articles R.211-29 à R.211-47 du code du cinéma et de l'image animée Créée par le décret n° 90-174 du 23 février 1990 pris pour l'application des articles 19 à 22 du code de l'industrie cinématographique et relatif à la classification des œuvres cinématographiques</t>
  </si>
  <si>
    <t xml:space="preserve">La commission n’ayant pas évolué, elle n’engendre pas de coûts supplémentaires.</t>
  </si>
  <si>
    <t xml:space="preserve">Commission de la rémunération équitable</t>
  </si>
  <si>
    <t xml:space="preserve">Articles L. 214-4 et R. 214-1 à R. 214-7 du Code de la propriété intellectuelle. Arrêté du 16 février 2009</t>
  </si>
  <si>
    <t xml:space="preserve">Le coût de fonctionnement correspond à la rémunération de la présidente de la commission,</t>
  </si>
  <si>
    <t xml:space="preserve">Commission de médiation relative à la perception de la taxe fiscale sur les spectacles</t>
  </si>
  <si>
    <t xml:space="preserve">Articles 76 et 77 de la loi de finances rectificative n° 2003-1312 du 31 décembre 2003 pour 2003 Décret n° 2004-117 du 4 février 2004 pris en application des articles 76 et 77 de la loi de finances rectificative pour 2003 définissant les catégories de spectacles et déterminant, pour l'Association pour le soutien du théâtre privé, les types d'aides et leurs critères d'attribution</t>
  </si>
  <si>
    <t xml:space="preserve">La commission a été conjointement saisie le 9 septembre 2024 par l'Association pour le soutien du théâtre privé (ASTP) et le Centre national de la musique (CNM). Les deux organismes ont indiqué la nécessité de réunir cette commission du fait de plusieurs cas de litiges concernant la répartition de la taxe fiscale. Deux sessions de la commission ont ainsi été organisées en 2025.</t>
  </si>
  <si>
    <t xml:space="preserve">Commission de récolement des dépôts d'œuvres d'art</t>
  </si>
  <si>
    <t xml:space="preserve">Articles D. 113-27 à D. 113- 29 du code du patrimoine (codifiant le décret n° 96- 750 du 20 août 1996 portant création d'une commission de récolement des dépôts d'œuvres d'art)</t>
  </si>
  <si>
    <t xml:space="preserve">Commission des droits des artistes- interprètes et des producteurs pour la réalisation d'une œuvre audiovisuelle</t>
  </si>
  <si>
    <t xml:space="preserve">Articles L. 212-9 et R. 212-1 et suivants du code de la propriété intellectuelle.</t>
  </si>
  <si>
    <t xml:space="preserve">Pas de réunion de cette commission en 2024. La commission s’est réunie à la fin des années 1980 et a</t>
  </si>
  <si>
    <t xml:space="preserve">Commission droits d'auteur et droits voisins</t>
  </si>
  <si>
    <t xml:space="preserve">Commission prévue aux articles L. 132-44 et L. 218-5 du code de la propriété intellectuelle. Sa composition a été fixée par arrêté du 31 janvier 2022 modifié portant nomination des membres de la commission prévue aux articles L. 132-44 et L. 218-5 du code de la propriété intellectuelle. Elle a été installée le 14 mars 2022. Le président de la commission perçoit une indemnité en application de l'arrêté du 18 mars 2022 relatif à l’indemnité perçue par le président de la commission prévue aux articles L. 132-44 et L. 218-5 du code de la propriété intellectuelle.</t>
  </si>
  <si>
    <t xml:space="preserve">Le nombre de saisines de la CDADV par les journalistes est en constante augmentation. Cette tendance s'explique par des désaccords persistants entre éditeurs de presse et journalistes sur la part devant leur être attribuée au titre des droits voisins. Par ailleurs, les décisions de la CDADV fixent un montant de rémunération plutôt favorables aux journalistes, ce qui les incite également à la saisir. Surtout, il convient cependant de noter que l'ensemble des décisions de la CDADV, créée en 2022, à l'exception d'une seule, font l'objet d'un contentieux devant le tribunal administratif de Paris.</t>
  </si>
  <si>
    <t xml:space="preserve">Commission du fonds de soutien à l'expression radiophonique locale</t>
  </si>
  <si>
    <t xml:space="preserve">Article 80 de la loi n° 86- 1067 du 30 septembre 1986 relative à la liberté de communication - Décret n° 2006-1067 du 25 août 2006 pris pour l'application de l'article 80 de la loi n° 86- 1067 du 30 septembre 1986 relative à la liberté de communication</t>
  </si>
  <si>
    <t xml:space="preserve">Une réunion supplémentaire s'est tenue par rapport à 2023 pour la mise en œuvre du bonus ruralité, à destination de radios locales, dans le cadre du plan Ruralité lancé par la ministre en janvier 2024. La totalité du coût de fonctionnement de la</t>
  </si>
  <si>
    <t xml:space="preserve">Commission interministérielle d’agrément pour la conservation du patrimoine artistique national</t>
  </si>
  <si>
    <t xml:space="preserve">Article 310 G (II) Annexe II au code général des impôts Arrêté du 6 avril 1982 relatif à la commission prévue à l'article 310 G de l'annexe II du CGI Créée par le décret n° 70-1046 du 10 novembre 1970 fixant les conditions dans lesquelles sont donnés les agréments prévus par la loi n°68-1251 du 31 décembre 1968</t>
  </si>
  <si>
    <t xml:space="preserve">Les variations annuelles, qui peuvent être grandes, s'expliquent par les fluctuations du nombre d'œuvres présentées d'une année sur l'autre, notamment de leur valeur d'assurance, qui ont tendance à renchérir depuis quelques années, ainsi qu’en fonction de la nécessité de prendre en charge des transports pour présentation des œuvres dans les commissions.</t>
  </si>
  <si>
    <t xml:space="preserve">Commission ministérielle des projets immobiliers</t>
  </si>
  <si>
    <t xml:space="preserve">Arrêté du 7 novembre 2018 relatif à la commission ministérielle des projets immobiliers</t>
  </si>
  <si>
    <t xml:space="preserve">Commission nationale culture handicap</t>
  </si>
  <si>
    <t xml:space="preserve">Arrêté du 1er février 2001 portant création de la commission nationale culture-handicap NOR: MCCB0100045A modifié par l'arrêté du 14 septembre 2021 NOR : MICB2126609A</t>
  </si>
  <si>
    <t xml:space="preserve">Pas de réunion en 2024, le poste de haut fonctionnaire handicap ayant été vacant entre juin et décembre. Les ministres compétents ont annoncé en février 2025 que la CNCH se réunirait en 2025.</t>
  </si>
  <si>
    <t xml:space="preserve">Commission nationale de reconnaissance des qualifications professionnelles d'architecte</t>
  </si>
  <si>
    <t xml:space="preserve">Loi n° 77-2 du 3 janvier 1977 sur l'architecture (article 10-4) Décret n° 2009-1490 du 2 décembre 2009 relatif à la reconnaissance des qualifications professionnelles pour</t>
  </si>
  <si>
    <t xml:space="preserve">Le premier collège de la CNRQPA a fait appel à deux experts (enseignants d'une école nationale supérieure d'architecture – ENSA). Ils sont tous deux rémunérés pour assister à la réunion de la commission afin de donner leur avis sur les demandes de reconnaissance d'un diplôme</t>
  </si>
  <si>
    <t xml:space="preserve">Commission nationale du patrimoine et de l'architecture</t>
  </si>
  <si>
    <t xml:space="preserve">Loi n° 2016-925 du 7 juillet 2016 relative à la liberté de la création, à l'architecture et au patrimoine Décret n° 2017-456 du 29 mars 2017 relatif au patrimoine mondial, aux monuments historiques et aux sites patrimoniaux remarquables</t>
  </si>
  <si>
    <t xml:space="preserve">Le nombre de séances tient à l'activité des DRAC ainsi qu'à l’évolution des politiques relatives à la protection du patrimoine. La variation du coût entre 2023 et 2024 s’explique par divers facteurs : - augmentation du nombre de commissions ; - coût moyen variable : le coût d'une instance varie en fonction de sa durée et de ses modalités d'organisation (distanciel / présentiel).</t>
  </si>
  <si>
    <t xml:space="preserve">Commission scientifique des musées nationaux réunie en commission des prêts et dépôts</t>
  </si>
  <si>
    <t xml:space="preserve">Article D. 422-4 du code du patrimoine Créée par le décret n° 2003-1303 du 26 décembre 2003 modifiant le décret n° 45-2075 du 31 août 1945 modifié portant application de l'ordonnance relative à l'organisation provisoire des musées des beaux-arts (art. 2 du décret du 31 août 1945)</t>
  </si>
  <si>
    <t xml:space="preserve">Pas de coûts associés en- dehors des coûts de fonctionnement usuels d'un service de l'administration, car cette commission n'implique pas de frais de présentation d'œuvres, ni de déplacements de ses membres.</t>
  </si>
  <si>
    <t xml:space="preserve">Conseil artistique des musées nationaux</t>
  </si>
  <si>
    <t xml:space="preserve">Articles L. 451-1, R. 422-5 et D. 422-6 et suivants du</t>
  </si>
  <si>
    <t xml:space="preserve">Le coût de fonctionnement concerne quasi-</t>
  </si>
  <si>
    <t xml:space="preserve">Conseil des Arts et Lettres</t>
  </si>
  <si>
    <t xml:space="preserve">Décret n° 57-549 du 2 mai 1957 portant institution de l'ordre des Arts et des Lettres (article 9 à11)</t>
  </si>
  <si>
    <t xml:space="preserve">Conseil national de l'inventaire général du patrimoine culturel</t>
  </si>
  <si>
    <t xml:space="preserve">Articles D. 144-1 à D. 144-5 du code du patrimoine (codifie le décret n° 2005- 835 du 20 juillet 2005 pris en application de l'article 95 de la loi n° 2004-809 du 13 août 2004 relative aux libertés et responsabilités locales et relatif au contrôle scientifique et technique de l'Etat en matière d'inventaire général du patrimoine</t>
  </si>
  <si>
    <t xml:space="preserve">Conseil national de la recherche archéologique</t>
  </si>
  <si>
    <t xml:space="preserve">Articles L.545-1 et R. 545-1 et suivants du code du patrimoine Créé par le décret n°94-423 du 27 mai 1994 portant création des organismes consultatifs en matière d'archéologie nationale - Décret n° 2017- 156 du 8 février 2017 relatif au Conseil national de la recherche archéologique et aux commissions territoriales de la recherche archéologique</t>
  </si>
  <si>
    <t xml:space="preserve">En 2024, aucune journée thématique n'a été organisée par le CNRA. Par ailleurs, l'année 2024 a été marquée par la fin de mandat des membres du CNRA. Dans ce contexte, les membres ont priorisé les rencontres en présentiel, limitant de fait le recours aux visioconférences.</t>
  </si>
  <si>
    <t xml:space="preserve">Conseil national de l’enseignement supérieur et de la recherche artistiques et culturels</t>
  </si>
  <si>
    <t xml:space="preserve">Articles L. 239-1 et D. 239- 1à 239-18 du code de l'éducation</t>
  </si>
  <si>
    <t xml:space="preserve">En 2023, se sont tenues les élections du CNESERAC (enseignants, étudiants, personnels scientifiques et de recherche). A contrario, en 2024, la CNESERAC a observé un fonctionnement usuel, ce qui explique la baisse des coûts.</t>
  </si>
  <si>
    <t xml:space="preserve">Conseil national des œuvres dans l'espace public dans le domaine des arts plastiques</t>
  </si>
  <si>
    <t xml:space="preserve">Décret n° 2016-1154 du 24 août 2016 portant création du conseil national des œuvres dans l'espace public dans le domaine des arts plastiques</t>
  </si>
  <si>
    <t xml:space="preserve">Le conseil s’est réuni durant 4 journées en 2024, en raison des besoins liés aux questions d'aménagement du territoire et à la réalisation d'œuvres d'arts plastiques situées dans l'espace public. Cette hausse de la fréquence explique l'augmentation des frais.</t>
  </si>
  <si>
    <t xml:space="preserve">Conseil national des professions des arts visuels</t>
  </si>
  <si>
    <t xml:space="preserve">Décret n° 2018-1079 du 3 décembre 2018 relatif au conseil national des professions des arts visuels</t>
  </si>
  <si>
    <t xml:space="preserve">Une seule réunion de plénière s'est déroulée en 2024. Le renouvellement de</t>
  </si>
  <si>
    <t xml:space="preserve">Conseil national des professions du spectacle</t>
  </si>
  <si>
    <t xml:space="preserve">Article 36 de la loi n° 2018- 699 du 3 août 2018 visant à garantir la présence des parlementaires dans certains organismes extérieurs au Parlement et à simplifier les modalités de leur nomination Décret n° 2013-353 du 25 avril 2013 relatif au conseil national des professions de spectacle. Un décret qui proroge son existence est en cours de validation/signature.</t>
  </si>
  <si>
    <t xml:space="preserve">Le décret n°2013-353 du 25 avril 2013 a été modifié en juillet 2024. L'objectif était notamment de réformer les sous-commissions du CNPS pour qu'elles intègrent les sujets stratégiques pour les partenaires sociaux et l'administration, dans le respect des prérogatives du CNPS (responsabilité sociétale des organisations, formation professionnelle). Cette réforme s'est opérée à coût constant.</t>
  </si>
  <si>
    <t xml:space="preserve">Conseil national des villes et pays d'art et d'histoire</t>
  </si>
  <si>
    <t xml:space="preserve">Arrêté du 5 mai 1995 portant création d'un Conseil national des villes et pays d'art et d'histoire NOR: MCCE9500249A - modifié par l'arrêté du 15 avril 2002 - NOR: MCCE020356 A - JORF du 4 mai 2002</t>
  </si>
  <si>
    <t xml:space="preserve">Le Conseil national des villes et pays d'art et d'histoire (CNVPAH) s'est réuni le 28/05/2025. Conformément aux textes régissant le CNVPAH, il n’est pas prévu de défraiements pour la participation ordinaire à cette instance. En effet l’article 7 de l’arrêté du 5/07/2005 dans sa version d’origine et réactualisée, stipule que « Les fonctions de membre du conseil seront exercées à titre gratuit ».</t>
  </si>
  <si>
    <t xml:space="preserve">Conseil scientifique de la médiathèque, de la photographie et du patrimoine</t>
  </si>
  <si>
    <t xml:space="preserve">Arrêté du 28 février 2011 instituant un conseil scientifique au sein du service à compétence nationale de la</t>
  </si>
  <si>
    <t xml:space="preserve">Ce conseil a été recomposé en 2024 par l'arrêté du 29 avril 2024 portant nomination au sein du conseil scientifique du</t>
  </si>
  <si>
    <t xml:space="preserve">Conseil scientifique du laboratoire de recherche des monuments historiques</t>
  </si>
  <si>
    <t xml:space="preserve">Arrêté du 4 janvier 2000 érigeant le laboratoire de recherche des monuments historiques en service à compétence nationale – Arrêté du 20 avril 2001 relatif à la composition du conseil scientifique du laboratoire de recherche des monuments historiques</t>
  </si>
  <si>
    <t xml:space="preserve">Le Conseil scientifique du LRMH se réunit tous les 2 ou 3 ans – la dernière réunion s’étant tenue en 2023. Le changement de direction au LRMH a conduit cette dernière à le programmer pour début 2026.</t>
  </si>
  <si>
    <t xml:space="preserve">Conseil supérieur de la propriété littéraire et artistique</t>
  </si>
  <si>
    <t xml:space="preserve">Arrêté du 10 juillet 2000 portant création du Conseil supérieur de la propriété littéraire et artistique NOR: MCCB0000389A - modifié par arrêté du 21 mars 2014 NOR: MCCB1405606A</t>
  </si>
  <si>
    <t xml:space="preserve">Le coût de fonctionnement correspond à la rémunération du président du CSPLA, et à la rémunération des présidents de missions et commissions. Le coût est plus élevé en raison, d’une part, de l’augmentation des indemnités versées aux collaborateurs extérieurs au ministère, plus nombreux en 2024, et, d’autre part, de l’augmentation de l’activité du CSPLA en 2024 (5 rapports publiés et 3 nouvelles missions lancées, dont l’une avec deux co- présidentes et deux rapporteurs).</t>
  </si>
  <si>
    <t xml:space="preserve">Conseil supérieur des archives</t>
  </si>
  <si>
    <t xml:space="preserve">Article L. 211-2-1 du code du patrimoine Arrêté du 21 janvier 1988 portant création du Conseil supérieur des archives NOR: MCCC8800040A</t>
  </si>
  <si>
    <t xml:space="preserve">Aucune indemnité, remboursement de mission ou frais de bouche, n'a été octroyé à ses membres.</t>
  </si>
  <si>
    <t xml:space="preserve">Haut conseil des musées de France</t>
  </si>
  <si>
    <t xml:space="preserve">Articles L. 430-1 et L. 430-2 du code du patrimoine Articles R. 430-1, R. 430-2, R. 430-3 et R. 430-4 du code du patrimoine créée par la loi l'article 3 de la loi n° 2002-5 du 4 janvier 2002 relative aux musées de France (art. 3) et le décret n° 2002-628 du 25 avril 2002 pris pour l'application de la loi n° 2002-5 du 4 janvier 2002 relative aux musées de France)</t>
  </si>
  <si>
    <t xml:space="preserve">Les frais mentionnés correspondent au remboursement des frais de déplacement de deux des membres du Haut conseil dont le défraiement est prévu par le texte d'organisation du Haut conseil, lorsqu'ils le demandent.</t>
  </si>
  <si>
    <t xml:space="preserve">Aménagement du territoire et décentralisation</t>
  </si>
  <si>
    <t xml:space="preserve">Comité des finances locales</t>
  </si>
  <si>
    <t xml:space="preserve">Articles L. 1211-1 et suivants et R. 1211-1 et suivants du code général des collectivités territoriales</t>
  </si>
  <si>
    <t xml:space="preserve">La diminution des coûts de fonctionnement s'explique par la vacance des postes de contractuels.</t>
  </si>
  <si>
    <t xml:space="preserve">Commission consultative sur l'évaluation des charges</t>
  </si>
  <si>
    <t xml:space="preserve">Articles L. 1211-4-1 et R. 1212-1 et suivants du code général des collectivités territoriales</t>
  </si>
  <si>
    <t xml:space="preserve">La diminution des coûts de fonctionnement s'explique par la diminution du nombre de réunions. Le seul coût enregistré en 2024 correspond à une prestation de sténotypie.</t>
  </si>
  <si>
    <t xml:space="preserve">Conseil national d'évaluation des normes</t>
  </si>
  <si>
    <t xml:space="preserve">Articles L. 1212-1 à L. 1212-4 et R. 1213-1 à R. 1213-30 du code général des collectivités territoriales</t>
  </si>
  <si>
    <t xml:space="preserve">Les coûts de fonctionnement correspondent aux frais de déplacement et d'accueil des représentants élus du conseil (soit 27 des 36 membres de l'instance). L’augmentation des coûts en 2023 par rapport à 2022 est due à l’organisation d’une séance en présentiel supplémentaire.</t>
  </si>
  <si>
    <t xml:space="preserve">Conseil national de la formation des élus locaux</t>
  </si>
  <si>
    <t xml:space="preserve">Articles L. 1221-1 et R. 1221- 1 à R. 1221-11 du code général des collectivités territoriales</t>
  </si>
  <si>
    <t xml:space="preserve">Les coûts de fonctionnement pour l'année 2024 correspondent à l’organisation des réunions du conseil national de la formation des élus locaux.</t>
  </si>
  <si>
    <t xml:space="preserve">Conseil national des opérations funéraires</t>
  </si>
  <si>
    <t xml:space="preserve">Articles L. 1241-1 et D. 1241- 1 à D. 1241-8 du code général des collectivités territoriales</t>
  </si>
  <si>
    <t xml:space="preserve">L'augmentation des coûts de fonctionnement est liée à la tenue de deux réunions en 2024 au lieu d’une en 2022 et 2023.</t>
  </si>
  <si>
    <t xml:space="preserve">Conseil supérieur de la fonction publique territoriale</t>
  </si>
  <si>
    <t xml:space="preserve">Articles L. 244-1 à L. 244-7 du code général de la fonction publique Décret n° 84-346 du 10 mai 1984 relatif au conseil supérieur de la fonction publique territoriale</t>
  </si>
  <si>
    <t xml:space="preserve">L'augmentation des coûts de fonctionnement est liée à une activité normative soutenue impliquant le travail simultané de plusieurs formations spécialisées de l'instance.</t>
  </si>
  <si>
    <t xml:space="preserve">Observatoire des finances et de la gestion publique locales</t>
  </si>
  <si>
    <t xml:space="preserve">Article L. 1211-4 du code général des collectivités territoriales</t>
  </si>
  <si>
    <t xml:space="preserve">L'augmentation des coûts de fonctionnement est principalement due au coût d’hébergement de la plateforme numérique.</t>
  </si>
  <si>
    <t xml:space="preserve">Comité de coordination des aéroports français</t>
  </si>
  <si>
    <t xml:space="preserve">Arrêté du 28 septembre 2004 créant le comité de coordination des aéroports français</t>
  </si>
  <si>
    <t xml:space="preserve">Le nombre de réunions présenté au titre de 2024 comprend les séances plénières et les réunions des sous-comités du CCAF, ce qui explique le différentiel avec les données des années précédentes.</t>
  </si>
  <si>
    <t xml:space="preserve">Comité des usagers du réseau routier national</t>
  </si>
  <si>
    <t xml:space="preserve">Article L. 121-4 du code de la voirie routière Décret n° 2009-1102 du 8 septembre 2009 relatif à la création du comité des usagers du réseau routier national</t>
  </si>
  <si>
    <t xml:space="preserve">Comité d’histoire de la politique de la ville</t>
  </si>
  <si>
    <t xml:space="preserve">Arrêté du 14 avril 2022 portant création du comité d’histoire de la politique de la ville</t>
  </si>
  <si>
    <t xml:space="preserve">Le projet est soutenu en convention pluriannuelle 2024/2026. Les dépenses sont majoritairement des prestations et des charges de personnel.</t>
  </si>
  <si>
    <t xml:space="preserve">Comité ministériel de transaction unique</t>
  </si>
  <si>
    <t xml:space="preserve">Article L. 423-2 du code des relations entre le public et l'administration Décret n° 2018-1029 du 23 novembre 2018 relatif aux comités ministériels de</t>
  </si>
  <si>
    <t xml:space="preserve">Le nombre de réunions est variable et dépend du nombre de dossiers reçus et instruits. 2 réunions sur 4 qui se sont tenues en 2024 intéressaient des dossiers</t>
  </si>
  <si>
    <t xml:space="preserve">Commission administrative de l'aviation civile</t>
  </si>
  <si>
    <t xml:space="preserve">Articles R. 160-1 et suivants et R. 330-20 du code de l'aviation civile</t>
  </si>
  <si>
    <t xml:space="preserve">Le président a été indemnisé pour les 6 séances de l'année 2024. La légère baisse du nombre de séances est due à l'absence de dossiers dans la formation réunie "Maintenance des aéronefs". Le buffet organisé le 26 novembre 2024 est comptabilisé dans les coûts de fonctionnement.</t>
  </si>
  <si>
    <t xml:space="preserve">Commission chargée de formuler des avis techniques et des documents techniques d'application sur des procédés, matériaux, éléments ou équipements utilisés dans la construction</t>
  </si>
  <si>
    <t xml:space="preserve">Arrêté du 21 mars 2012 relatif à la commission chargée de formuler des avis techniques et des documents techniques d'application sur des procédés, matériaux, éléments ou équipements utilisés dans la construction</t>
  </si>
  <si>
    <t xml:space="preserve">Commission chargée de l'examen du respect des obligations de réalisation de logements sociaux</t>
  </si>
  <si>
    <t xml:space="preserve">Articles L. 302-9-1-1 et R. 302-26 du code de la construction et de l’habitation</t>
  </si>
  <si>
    <t xml:space="preserve">La commission nationale SRU n'a pas été réunie en 2024. Les travaux de la commission nationale SRU sont articulés avec la procédure SRU, elle- même triennale. La CNSRU se réunit ainsi l'année précédant une période triennale pour rendre un avis sur les demandes d'exemption, et l'année suivant la période triennale,</t>
  </si>
  <si>
    <t xml:space="preserve">Commission consultative pour la délivrance de l'attestation de capacité professionnelle à l'exercice de la profession de transporteur public de marchandises par bateau de navigation intérieure</t>
  </si>
  <si>
    <t xml:space="preserve">Arrêté du 28 juillet 1992 fixant les modalités d'obtention de l'attestation de capacité à l'exercice de la profession de transporteur public de marchandises par bateau de navigation intérieure</t>
  </si>
  <si>
    <t xml:space="preserve">Commission d'évaluation des innovations techniques dans le domaine de la détection et du traitement de l'amiante dans le bâtiment</t>
  </si>
  <si>
    <t xml:space="preserve">Décret n° 2017-34 du 13 janvier 2017 portant création de la commission d'évaluation des innovations techniques dans le domaine de la détection et du traitement de l'amiante dans le bâtiment</t>
  </si>
  <si>
    <t xml:space="preserve">Le coût de fonctionnement correspond à une prestation d'assistance à la réalisation des comptes-rendus de séance. La diminution du coût en 2024 est liée à un nombre moindre de réunion.</t>
  </si>
  <si>
    <t xml:space="preserve">Commission d’agrément des organismes de qualification</t>
  </si>
  <si>
    <t xml:space="preserve">Décret n° 2024-596 du 25 juin 2024 relatif à la mise en place d'un dispositif d'agrément des organismes de qualification des professionnels réalisant des travaux de rénovation énergétique des bâtiments, des audits énergétiques, l'installation de dispositifs de production d'électricité utilisant l'énergie solaire photovoltaïque, et l'installation et la</t>
  </si>
  <si>
    <t xml:space="preserve">La commission a été créée en 2024.</t>
  </si>
  <si>
    <t xml:space="preserve">Commission d’agrément des bureaux d’étude</t>
  </si>
  <si>
    <t xml:space="preserve">Décret n° 2023-1143 du 6 décembre 2023 définissant les conditions d'agrément des bureaux d'études pour la délivrance d'attestations relatives au respect des règles de construction</t>
  </si>
  <si>
    <t xml:space="preserve">La commission a été créée en 2024. Le montant comprend le paiement d'un prestataire en charge de la réalisation des comptes-rendus et l'indemnisation des rapporteurs en charge de l'instruction des dossiers.</t>
  </si>
  <si>
    <t xml:space="preserve">Commission ferroviaire d'aptitudes</t>
  </si>
  <si>
    <t xml:space="preserve">Article L. 2221-8 du code des transports Décret n° 2010-708 du 29 juin 2010 relatif à la certification des conducteurs de trains</t>
  </si>
  <si>
    <t xml:space="preserve">La baisse du nombre de séances entre 2023 et 2024 est liée à : - la diminution du nombre de recours portant sur l'aptitude physique et psychologique des personnels ferroviaires exerçant des taches critiques pour la sécurité (dont les conducteurs de train) : 296 recours en 2023 contre 254 en 2024 ; - l’optimisation du nombre de recours traités par séance par la mise en place de nouvelles méthodes de travail.</t>
  </si>
  <si>
    <t xml:space="preserve">Commission interministérielle pour le logement des populations immigrées</t>
  </si>
  <si>
    <t xml:space="preserve">Arrêté du 10 juillet 2015 relatif à la commission interministérielle pour le logement des populations immigrées</t>
  </si>
  <si>
    <t xml:space="preserve">Commission nationale d'évaluation de la sécurité des ouvrages routiers</t>
  </si>
  <si>
    <t xml:space="preserve">Articles D. 118-2-1 à D. 118- 2-3 du code de la voirie routière</t>
  </si>
  <si>
    <t xml:space="preserve">Comme indiqué l'année dernière, le coût de fonctionnement en 2023 traduisait en pratique la reprise de l’activité faisant suite à la nomination de la nouvelle commission, avec en outre une optimisation des procédures permettant</t>
  </si>
  <si>
    <t xml:space="preserve">Commission nationale d'évaluation des recherches et études relatives à la gestion des matières et des déchets radioactifs</t>
  </si>
  <si>
    <t xml:space="preserve">Article L. 542-3 du code de l'environnement</t>
  </si>
  <si>
    <t xml:space="preserve">Les dépenses 2024 incluent les dépenses de personnels œuvrant à temps plein pour la CNE2 (deux assistantes sous contrat avec le ministère et un secrétaire général mis à disposition). A noter que les membres de la CNE2 sont au nombre de 14 depuis le 1er janvier 2025 (loi n° 24-450 du 21 mai 2024). Pour mémoire, il avait été procédé en 2023 à une régularisation de factures reçues fin 2022 concernant la mise à disposition du secrétaire général.</t>
  </si>
  <si>
    <t xml:space="preserve">Commission nationale de concertation</t>
  </si>
  <si>
    <t xml:space="preserve">Loi n° 86-1290 du 23 décembre 1986 tendant à favoriser l'investissement locatif, l'accession à la propriété de logements sociaux et le développement de l'offre foncière Décret n° 88-274 du 18 mars 1988 portant application de l'article 41 de la loi n° 86-1290 du 23</t>
  </si>
  <si>
    <t xml:space="preserve">Commission nationale des sanctions administratives</t>
  </si>
  <si>
    <t xml:space="preserve">Articles L. 1452-1, L. 3452-3 et R. 3452-25 à R. 3452-42 du code des transports</t>
  </si>
  <si>
    <t xml:space="preserve">Commission supérieure des sites, perspectives et paysages</t>
  </si>
  <si>
    <t xml:space="preserve">Articles L. 341-17 et R. 341- 28 et suivants du code de l’environnement</t>
  </si>
  <si>
    <t xml:space="preserve">Une séance de CSSPP de moins dans l'année en 2024 qu'en 2023 explique le coût un peu plus faible qu'en 2023</t>
  </si>
  <si>
    <t xml:space="preserve">Conseil d'orientation des infrastructures</t>
  </si>
  <si>
    <t xml:space="preserve">Décret n° 2020-1825 du 30 décembre 2020 relatif au conseil d'orientation des infrastructures</t>
  </si>
  <si>
    <t xml:space="preserve">Le conseil ne s’est pas réuni en 2024.</t>
  </si>
  <si>
    <t xml:space="preserve">Conseil de discipline du personnel navigant professionnel de l'aéronautique civile</t>
  </si>
  <si>
    <t xml:space="preserve">Articles R. 425-4, R.425-5 et R. 425-8 du code de l'aviation civile</t>
  </si>
  <si>
    <t xml:space="preserve">Conseil national de la sûreté de l'aviation civile</t>
  </si>
  <si>
    <t xml:space="preserve">Article D. 213-2 du code de l'aviation civile</t>
  </si>
  <si>
    <t xml:space="preserve">Conseil supérieur de la construction et de l'efficacité énergétique</t>
  </si>
  <si>
    <t xml:space="preserve">Articles L. 142-3 à L. 142-6 du code de la construction et de l’habitation Décret n° 2015-1554 du 27 novembre 2015 relatif au conseil supérieur de la construction et de l'efficacité énergétique</t>
  </si>
  <si>
    <t xml:space="preserve">Les coûts ont été stabilisés en 2024, dans le fil de la baisse opérée en 2023 grâce au passage à une organisation majoritairement en visioconférence. Le décret n° 2024-442 du 16 mai 2024 modifiant la composition du Conseil supérieur de la construction et de l'efficacité énergétique a augmenté le nombre de membres du conseil à 35 afin de représenter au mieux la filière de la construction.</t>
  </si>
  <si>
    <t xml:space="preserve">Observatoire des territoires</t>
  </si>
  <si>
    <t xml:space="preserve">Décret n° 2011-887 du 26 juillet 2011 portant renouvellement de</t>
  </si>
  <si>
    <t xml:space="preserve">Les dépenses correspondent uniquement aux prestations informatiques du portail de</t>
  </si>
  <si>
    <t xml:space="preserve">Observatoire national de la politique de la ville</t>
  </si>
  <si>
    <t xml:space="preserve">Loi n° 2014-173 du 21 février 2014 de programmation pour la ville et la cohésion urbaine Décret n° 2015-77 du 27 janvier 2015 relatif aux instances en charge de la politique de la ville</t>
  </si>
  <si>
    <t xml:space="preserve">Les dépenses correspondent uniquement aux prestations informatiques du système d'information géographique Les coûts de maintenance restent fixes (24,9K€), les autres dépenses sont liées à des petits développements (géographie prioritaire outre- mer, enrichissement des données et accès aux contrats de ville).</t>
  </si>
  <si>
    <t xml:space="preserve">Europe et affaires étrangères</t>
  </si>
  <si>
    <t xml:space="preserve">Commission consultative des recherches archéologiques à l'étranger</t>
  </si>
  <si>
    <t xml:space="preserve">Arrêté du 4 octobre 1995 portant création d'une commission consultative des recherches archéologiques à l'étranger.</t>
  </si>
  <si>
    <t xml:space="preserve">L’augmentation des coûts de fonctionnement de la commission s’explique par un déséquilibre entre le nombre des membres et celui des disciplines scientifiques, ce qui a impliqué une présence accrue des membres sur 7 jours dans le cadre de la réunion annuelle. En effet, le déficit de membres pour certaines disciplines scientifiques (préhistorien et médiéviste) a impliqué une mobilisation accrue des experts disponibles (participation à plusieurs sous-commissions), dans un contexte où le nombre total de dossiers examinés est important d’une part (200) et où, d’autre part, il est nécessaire de limiter le nombre maximum de dossiers attribués par expert pour maintenir une évaluation de qualité sur des dossiers très techniques.</t>
  </si>
  <si>
    <t xml:space="preserve">Commission interministérielle chargée d'émettre un avis sur les opérations immobilières de l'État à l'étranger</t>
  </si>
  <si>
    <t xml:space="preserve">Articles D. 1221-3 à D. 1221- 6 du code général de la propriété des personnes publiques.</t>
  </si>
  <si>
    <t xml:space="preserve">Les réunions se sont déroulées dans les locaux du département, donc sans frais. Par ailleurs, les prestations de collations</t>
  </si>
  <si>
    <t xml:space="preserve">Commission nationale de la coopération décentralisée</t>
  </si>
  <si>
    <t xml:space="preserve">Articles L. 1115-6 et R. 1115- 8 et suivants du code général des collectivités territoriales ; Loi d'orientation n° 92-125 du 6 février 1992 relative à l'administration territoriale de la République.</t>
  </si>
  <si>
    <t xml:space="preserve">Deux réunions plénières et deux réunions de la commission permanente ont été organisées au cours de l’année 2024.</t>
  </si>
  <si>
    <t xml:space="preserve">Commission nationale pour l'élimination des mines antipersonnel</t>
  </si>
  <si>
    <t xml:space="preserve">Commission instituée par le décret n° 99-358 du 10 mai 1999. Les dispositions ont ensuite été codifiées aux articles R. 2343-1 et suivants du code de la défense.</t>
  </si>
  <si>
    <t xml:space="preserve">La réunion organisée en 2024 était l’assemblée générale de la CNEMA. Elle n’a pas occasionné de dépenses, s'étant tenue au ministère de l'Europe et des affaires étrangères, sans frais. L’augmentation du coût de fonctionnement s’explique par les 9 missions à l'étranger du secrétaire général de la commission pour un coût de 19 404 euros.</t>
  </si>
  <si>
    <t xml:space="preserve">Commission permanente pour la protection sociale des Français de l'étranger</t>
  </si>
  <si>
    <t xml:space="preserve">Décret n° 92-437 du 19 mai 1992 portant création d'une commission permanente pour la protection sociale des Français de l'étranger.</t>
  </si>
  <si>
    <t xml:space="preserve">Conseil national du développement et de la solidarité internationale</t>
  </si>
  <si>
    <t xml:space="preserve">Décret n° 2013-1154 du 11 décembre 2013 créant un Conseil national du développement et de la solidarité internationale.</t>
  </si>
  <si>
    <t xml:space="preserve">La 3ème réunion prévue de l’instance a été annulée en raison du cyclone à Mayotte qui a mobilisé le ministre. Le coût de fonctionnement de l’instance pour l’année 2024 comprend un montant de 31 310,00 € pour les invitations (transports, notamment aérien, hébergement, per diem) et un montant de 18 226 € pour les autres dépenses</t>
  </si>
  <si>
    <t xml:space="preserve">Transition écologique, biodiversité, forêt, mer et pêche</t>
  </si>
  <si>
    <t xml:space="preserve">Comité d'experts sur la gestion adaptative</t>
  </si>
  <si>
    <t xml:space="preserve">Articles D. 421-51 à D. 421- 55 du code de l'environnement Arrêté du 5 mars 2019 relatif à la composition et au fonctionnement du comité d'experts sur la gestion adaptative</t>
  </si>
  <si>
    <t xml:space="preserve">Ce comité, qui ne s'était jamais réuni, a été constitué et s’est réuni pour la première fois à l'été 2025, à la suite de l'accord entre la Ministre et le Président de la Fédération nationale des chasseurs sur la mise en place d'une gestion adaptative pour certaines espèces d'oiseaux.</t>
  </si>
  <si>
    <t xml:space="preserve">Comité de l'environnement polaire</t>
  </si>
  <si>
    <t xml:space="preserve">Articles D. 133-31 à D. 133- 34 du code de l'environnement</t>
  </si>
  <si>
    <t xml:space="preserve">Comité de la prévention et de la précaution</t>
  </si>
  <si>
    <t xml:space="preserve">Arrêté du 30 juillet 1996 portant création du Comité de la prévention et de la précaution Décret n° 2014-1629 du 26 décembre 2014 relatif à la composition et au fonctionnement de la Commission nationale de la déontologie et des alertes en matière de santé publique et d'environnement (rattachement à la CNDAspe)</t>
  </si>
  <si>
    <t xml:space="preserve">Les conditions contractuelles d'un des prestataires pour l'accompagnement du CPP ont été modifiées. L'ensemble de ces conditions et l'organisation en distanciel, qui diminue les frais de mission, expliquent la baisse des frais de fonctionnement. Elle est d'autant plus importante que le budget 2023 était resté élevé, compte tenu de l'organisation d'un colloque et de frais éditoriaux.</t>
  </si>
  <si>
    <t xml:space="preserve">Comité national de l'eau</t>
  </si>
  <si>
    <t xml:space="preserve">Articles L. 213-1 et D. 213-1 et suivants du code de l'environnement</t>
  </si>
  <si>
    <t xml:space="preserve">Comité national de la biodiversité</t>
  </si>
  <si>
    <t xml:space="preserve">Articles L. 134-1 et R. 134-12 à R. 134-19 du code de l'environnement</t>
  </si>
  <si>
    <t xml:space="preserve">Comité national de l’initiative française pour les récifs coralliens</t>
  </si>
  <si>
    <t xml:space="preserve">Article L. 213-20-1 du code de l'environnement Décret n° 2023-387 du 22 mai 2023 relatif au Comité national et aux comités locaux de l'initiative française pour les récifs coralliens</t>
  </si>
  <si>
    <t xml:space="preserve">En 2024, les coûts de fonctionnement ont été pris en charge par la DGOM qui a accueilli la réunion du Comité national de l'Initiative française pour les récifs coralliens dans ses locaux (novembre 2024). Pour 2025, les coûts de fonctionnement revenant à la DEB sont anticipés à 35 k€ pour l'organisation de la réunion du Comité national en Martinique (novembre 2025).</t>
  </si>
  <si>
    <t xml:space="preserve">Comité technique permanent des barrages et des ouvrages hydrauliques</t>
  </si>
  <si>
    <t xml:space="preserve">Articles L. 213-21, L. 213-22, R. 213-77 et suivants du code de l'environnement</t>
  </si>
  <si>
    <t xml:space="preserve">Les variations d'une année sur l'autre résultent du nombre de dossiers d'ouvrages soumis à l'avis du Comité. En 2024, il n'y a pas eu de visites sur le terrain, uniquement des séances/réunions. En 2025, le comité est mobilisé sur le projet de canal Seine-Nord Europe et deux déplacements sur le terrain ont déjà eu lieu.</t>
  </si>
  <si>
    <t xml:space="preserve">Commission centrale de sécurité</t>
  </si>
  <si>
    <t xml:space="preserve">« décret n°84-810 du 30 août 1984 relatif à la sauvegarde de la vie humaine en mer, à la prévention de la pollution, à la sûreté et à la certification sociale des navires, modifié »</t>
  </si>
  <si>
    <t xml:space="preserve">Le montant des frais de fonctionnement pour 2023 incluait les dépenses de la section « sécurité des navires de plaisance » (prévu par l’article 15-1 du décret n°84- 810 du 30 août 1984). Pour l’année 2024, ces données ne sont pas encore connues au moment de la préparation de la présente annexe budgétaire.</t>
  </si>
  <si>
    <t xml:space="preserve">Commission d'agrément des contrôleurs techniques de la construction</t>
  </si>
  <si>
    <t xml:space="preserve">Articles R. 125-1 à R. 125-11 du code de la construction et de l'habitation</t>
  </si>
  <si>
    <t xml:space="preserve">Le montant comprend le paiement d'un prestataire en charge de la réalisation des comptes-rendus et l'indemnisation des rapporteurs en charge de l'instruction des dossiers</t>
  </si>
  <si>
    <t xml:space="preserve">Commission d'agrément des laboratoires ou des organismes pour certains types de prélèvements et d'analyses à l'émission des substances dans l'atmosphère</t>
  </si>
  <si>
    <t xml:space="preserve">Arrêté du 11 mars 2010 portant modalités d'agrément des laboratoires ou des organismes pour certains types de prélèvements et d'analyses à l'émission des substances dans l'atmosphère</t>
  </si>
  <si>
    <t xml:space="preserve">De nouveau, en 2024, aucun frais de fonctionnement</t>
  </si>
  <si>
    <t xml:space="preserve">Commission de l'économie du développement durable</t>
  </si>
  <si>
    <t xml:space="preserve">Décret n° 2020-1369 du 10 novembre 2020 relatif à la création de la Commission de l'économie du développement durable</t>
  </si>
  <si>
    <t xml:space="preserve">Les membres travaillent en formations permanentes, qui sont le véritable lieu d'exercice de la commission. Le tableau comptabilise les réunions du comité plénier. Le président de cette commission étant parti à la retraite fin avril et la nomination d'un successeur n'étant pas encore intervenue, la commission ne s'est réunie que trois fois.</t>
  </si>
  <si>
    <t xml:space="preserve">Commission inter-filières de responsabilité élargie des producteurs</t>
  </si>
  <si>
    <t xml:space="preserve">Articles L. 541-10 et D. 541- 6-1 du code de l'environnement (loi n° 2020-105 du 10 février 2020 relative à la lutte contre le gaspillage et à l'économie circulaire)</t>
  </si>
  <si>
    <t xml:space="preserve">Le secrétariat de la CiFREP est assuré par le bureau des filières REP de la direction générale de la prévention des risques. Le coût de fonctionnement de la commission évolue peu d'une année sur l'autre, en s'établissant à moins de 3 000 €. Il comprend le remboursement des frais de transport du président, les coûts d'une prestation pour la réalisation d'un compte</t>
  </si>
  <si>
    <t xml:space="preserve">Commission nationale consultative pour la faune sauvage captive</t>
  </si>
  <si>
    <t xml:space="preserve">Article R. 413-2 du code de l'environnement</t>
  </si>
  <si>
    <t xml:space="preserve">Les coûts de fonctionnement sont liés à l'organisation de certaines réunions en présentiel, nécessitant ensuite le remboursement des déplacements des membres qui interviennent par ailleurs à titre gracieux</t>
  </si>
  <si>
    <t xml:space="preserve">Commission nationale d'indemnisation des dégâts de gibiers</t>
  </si>
  <si>
    <t xml:space="preserve">Articles L. 426-5 et R. 426-3 et suivants du code de l'environnement</t>
  </si>
  <si>
    <t xml:space="preserve">Commission nationale de la déontologie et des alertes en matière de santé publique et d'environnement</t>
  </si>
  <si>
    <t xml:space="preserve">Loi n° 2013-316 du 16 avril 2013 relative à l'indépendance de l'expertise en matière de santé et d'environnement et à la protection des lanceurs d'alerte Décret n° 2014-1629 du 26 décembre 2014 relatif à la composition et au fonctionnement de la commission nationale de la déontologie et des alertes en matière de santé publique et d'environnement.</t>
  </si>
  <si>
    <t xml:space="preserve">En 2024, la baisse très forte des coûts de fonctionnement vient principalement de l'évolution de la répercussion du budget lié au secrétariat permanent qui a pu être imputé en 2023 et 2022. En 2024, la répartition des tâches a été modifiée et les règles appliquées pour comptabiliser ces coûts conduisent à les exclure comme c'était le cas en 2021 où, pour mémoire, le coût rapporté avait été de 9,7 k€. La modification des conditions contractuelles des prestataires pour l'accompagnement de la commission a également conduit à une diminution des coûts. Les frais de mission ont été faibles car les</t>
  </si>
  <si>
    <t xml:space="preserve">Commission nationale de la négociation collective maritime</t>
  </si>
  <si>
    <t xml:space="preserve">Décret n° 2015-918 du 27 juillet 2015 relatif aux conventions et accords collectifs des gens de mer et à la composition et au fonctionnement de la commission nationale de la négociation collective maritime</t>
  </si>
  <si>
    <t xml:space="preserve">Les coûts sont nuls depuis 2022 car les commissions sont tenues en visioconférence.</t>
  </si>
  <si>
    <t xml:space="preserve">Commission professionnelle consultative Mer et navigation intérieure</t>
  </si>
  <si>
    <t xml:space="preserve">Article L. 6113-3, articles R. 6113-21 à R. 6113-26 du code du travail, Décret n° 2019-958 du 13 septembre 2019 instituant les commissions professionnelles consultatives (CPC) chargées d'examiner les projets de création, de révision ou de suppression de diplômes et titres à finalité professionnelle délivrés au nom de l'Etat.</t>
  </si>
  <si>
    <t xml:space="preserve">Conseil d'orientation pour la prévention des risques naturels majeurs</t>
  </si>
  <si>
    <t xml:space="preserve">Articles L. 565-3, L. 566-4, D. 565-8 et D. 565-9 du code de l’environnement</t>
  </si>
  <si>
    <t xml:space="preserve">Il s'agit principalement de remboursement de notes de frais (807 €) du VP nommé le 16 février 2024 qui a effectué, lors de sa prise de fonction, des réunions supplémentaires et un déplacement pour préparer ses interventions au COPRNM</t>
  </si>
  <si>
    <t xml:space="preserve">Conseil du personnel navigant professionnel de l'aéronautique civile</t>
  </si>
  <si>
    <t xml:space="preserve">Articles R. 421-7 et R.421-8 du code de l'aviation civile</t>
  </si>
  <si>
    <t xml:space="preserve">Conseil national de l'air</t>
  </si>
  <si>
    <t xml:space="preserve">Articles L. 221-6-1 et D. 221- 16 et suivants du code de l’environnement</t>
  </si>
  <si>
    <t xml:space="preserve">Les coûts au titre de 2024 comprennent les frais d’intervention de la société UBIQUS au cours de deux réunions (le 14/03/2024 et le</t>
  </si>
  <si>
    <t xml:space="preserve">Conseil national de l'économie circulaire</t>
  </si>
  <si>
    <t xml:space="preserve">Articles D. 541-1 à D. 541-6 du code de l’environnement</t>
  </si>
  <si>
    <t xml:space="preserve">Le secrétariat du CNEC est assuré par le bureau de la prévention et de la lutte contre le gaspillage (BPLG) de la DGPR. Le coût de fonctionnement indiqué comprend l'accueil café au début de la réunion, le remboursement des frais de transport du président (nouveauté par rapport à 2023) et les coûts de réalisation par Ubiqus d'un procès-verbal de réunion (nouveauté par rapport à 2023). La composition du CNEC a évolué en 2024 et début 2025 (décret n° 2024- 640 du 27 juin 2024 et décret n° 2025-73 du 28 janvier 2025) : le CNEC était composé de 49 membres en 2024 (puis de 51 membres en 2025).</t>
  </si>
  <si>
    <t xml:space="preserve">Conseil national de l'habitat</t>
  </si>
  <si>
    <t xml:space="preserve">Articles L. 361-1 et D. 361-1 à D. 361-20 du code de la construction et de l'habitation</t>
  </si>
  <si>
    <t xml:space="preserve">A la demande des présidents du CNH Lionel Causse (jusqu'en juillet 2024) et Annaïg Le Meur (à partir de décembre), des procès- verbaux systématiques sont réalisés pour chaque séance en présentiel ou en</t>
  </si>
  <si>
    <t xml:space="preserve">Conseil national de l'information géolocalisée</t>
  </si>
  <si>
    <t xml:space="preserve">Décret n° 2022-1204 du 30 août 2022 modifiant le décret n° 2011-127 du 31 janvier 2011 relatif au Conseil national de l'information géolocalisée</t>
  </si>
  <si>
    <t xml:space="preserve">Le CNIG a été renforcé en 2023. Un rapport annuel est publié en ligne en format Epub avec un contenu vidéo. En 2024, le CNIG a organisé pour la première fois un colloque "souveraineté et données géolocalisées" (4 juin 2024).</t>
  </si>
  <si>
    <t xml:space="preserve">Conseil national de la chasse et de la faune sauvage</t>
  </si>
  <si>
    <t xml:space="preserve">Articles L. 421-1 A et R. 421- 1 à R. 421-5 du code de l'environnement</t>
  </si>
  <si>
    <t xml:space="preserve">3 réunions uniquement en visio (plus 3 votes dématérialisés sur des projets de textes)</t>
  </si>
  <si>
    <t xml:space="preserve">Conseil national de la mer et des littoraux</t>
  </si>
  <si>
    <t xml:space="preserve">Loi n° 86-2 du 3 janvier 1986 relative à l'aménagement, la protection et la mise en valeur du littoral Décret n° 2011-637 du 9 juin 2011 relatif aux attributions, à la composition et au fonctionnement du conseil national de la mer et des littoraux</t>
  </si>
  <si>
    <t xml:space="preserve">En 2024, le Bureau du CNML s'est réuni 3 fois et le plénier s'est réuni 1 fois. Les principaux frais engagés pour ces évènements sont des frais de bouche. Le Bureau s'est réuni 3 fois en visioconférence ou en hybride, il n'y a donc pas eu de frais. Le plénier s'est réuni à l’hôtel de Roquelaure sans engager de frais de bouche.</t>
  </si>
  <si>
    <t xml:space="preserve">Conseil national de la protection de la nature</t>
  </si>
  <si>
    <t xml:space="preserve">Articles L.134-2 et R.134-20 et suivants du code de l'environnement</t>
  </si>
  <si>
    <t xml:space="preserve">La variation des coûts de 5000€ est liée à la variabilité interannuelle non prévisible des frais de déplacement des experts du CNPN d'une année sur l'autre, ces frais constituant la quasi-totalité de l'enveloppe de 110 K€ allouée au CNPN. De plus, l’année 2024 a connu une hausse de la participation des membres aux réunions (notamment dans les commissions) et du nombre de dossiers traités impliquant une progression des indemnités de rapport.</t>
  </si>
  <si>
    <t xml:space="preserve">Conseil national de la transaction et de la gestion immobilières</t>
  </si>
  <si>
    <t xml:space="preserve">Loi n° 70-9 du 2 janvier 1970 réglementant les conditions d'exercice des activités relatives à certaines opérations portant sur les immeubles et les fonds de commerce Décret n° 2019-298 du 10 avril 2019 relatif au Conseil national de la transaction et de la gestion immobilières</t>
  </si>
  <si>
    <t xml:space="preserve">Le nombre de réunions évolue en fonction des textes soumis à la Commission. Le conseil s'est ainsi réuni 5 fois en 2024 contre 8 au cours des précédents exercices.</t>
  </si>
  <si>
    <t xml:space="preserve">Conseil national de la transition écologique</t>
  </si>
  <si>
    <t xml:space="preserve">Articles L.133-1 à L.133-4 et D.134-1 à D.134-7 du code de l'environnement</t>
  </si>
  <si>
    <t xml:space="preserve">Les coûts engendrés par la commission sont dus aux frais fixes d'adhésion à l'EEAC (The European Environment and Sustainable Development Advisory Councils Network). Ils ne varient donc pas selon le nombre de réunions, celle-ci n'occasionnant pas ou très peu de frais.</t>
  </si>
  <si>
    <t xml:space="preserve">Conseil national du bruit</t>
  </si>
  <si>
    <t xml:space="preserve">Articles L. 571-1-1, L. 571-2 et L571-6 et D. 571-98 à D. 571-104 du code de l'environnement</t>
  </si>
  <si>
    <t xml:space="preserve">La forte hausse entre 2023 et 2024 est due au financement des décibel d'or (14,5k€), concours qui récompense, les industriels, élus, enseignants, concepteurs, représentants d’associations, chercheurs, Français et Européens, ayant fait preuve de réalisations significatives, innovantes ou remarquables dans le domaine de l’amélioration de l’environnement sonore.</t>
  </si>
  <si>
    <t xml:space="preserve">Conseil supérieur de l'aviation civile</t>
  </si>
  <si>
    <t xml:space="preserve">Articles L. 6441-1 du code des transports et D. 370-1 et suivants du code de l'aviation civile</t>
  </si>
  <si>
    <t xml:space="preserve">Il n’y a eu aucune réunion en 2024 et aucun coût associé.</t>
  </si>
  <si>
    <t xml:space="preserve">Conseil supérieur de la marine marchande</t>
  </si>
  <si>
    <t xml:space="preserve">Loi n° 82-1153 du 30 décembre 1982 d'orientation des transports Décret n° 2002- 647 du 29 avril 2002 relatif à la composition, aux attributions et à l'organisation du conseil supérieur de la marine marchande</t>
  </si>
  <si>
    <t xml:space="preserve">Conseil supérieur de la prévention des risques technologiques</t>
  </si>
  <si>
    <t xml:space="preserve">Articles L. 222-7, L. 511-2, L.512-5, L.512-7, L.512-10, L.514-7, L. 555-6 et D. 510-1</t>
  </si>
  <si>
    <t xml:space="preserve">L’augmentation des coûts s’explique par l’effet de l'inflation sur les prestations associées à l'organisation des</t>
  </si>
  <si>
    <t xml:space="preserve">Conseil supérieur des gens de mer</t>
  </si>
  <si>
    <t xml:space="preserve">« Décret n° 2007-1227 du 21 août 2007 relatif à la prévention des risques professionnels maritimes et au bien-être des gens de mer en mer et dans les ports, modifié ».</t>
  </si>
  <si>
    <t xml:space="preserve">Les coûts d'organisation sont très faibles rapportés au très grand nombre de personnes qui participent aux séances en visio. Les membres sont toutefois invités à participer en présentiel à certaines séances. En fonction du lieu de résidence de ceux qui se déplacent, les coûts présentent une variation relative mais restent globalement marginaux.</t>
  </si>
  <si>
    <t xml:space="preserve">Grande commission nautique</t>
  </si>
  <si>
    <t xml:space="preserve">Décret n° 86-606 du 14 mars 1986 relatif aux commissions nautiques</t>
  </si>
  <si>
    <t xml:space="preserve">Agriculture et souveraineté alimentaire</t>
  </si>
  <si>
    <t xml:space="preserve">Comité d'orientation stratégique et de suivi du plan national pour une utilisation des produits phytopharmaceutiques compatible avec le développement durable</t>
  </si>
  <si>
    <t xml:space="preserve">Article L. 253-6 du code rural et de la pêche maritime dans sa version issue de l'article 80 de la loi n° 2018-938 du 30 octobre 2018 pour l'équilibre des relations commerciales dans le secteur agricole et alimentaire et une alimentation saine, durable et accessible à tous. Article D. 253-44-1 et suivants du code rural et de la pêche maritime.</t>
  </si>
  <si>
    <t xml:space="preserve">Le coût correspond à une prestation externe (rédaction du compte-rendu intégral de la réunion)</t>
  </si>
  <si>
    <t xml:space="preserve">Comité national de gestion des risques en agriculture</t>
  </si>
  <si>
    <t xml:space="preserve">Articles L. 361-8 à D. 361-8 du code rural et de la pêche maritime Décret n°2016-1611 du 25 novembre 2016 relatif au Comité national de gestion des risques en agriculture, aux comités départementaux d'expertise et à la procédure de reconnaissance des calamités agricoles</t>
  </si>
  <si>
    <t xml:space="preserve">Comité national de la gestion des risques en forêt</t>
  </si>
  <si>
    <t xml:space="preserve">Articles L. 351-1, D. 351-1 à D. 351-3 du code forestier nouveau. Décret n°2016- 1611 du 25 novembre 2016 relatif au Comité national de gestion des risques en agriculture, aux comités</t>
  </si>
  <si>
    <t xml:space="preserve">Comité national de suivi du plan stratégique national</t>
  </si>
  <si>
    <t xml:space="preserve">Article 5 du décret n°2022- 1525 du 7 décembre 2022 relatif à la mise en œuvre de la politique agricole commune et du plan stratégique</t>
  </si>
  <si>
    <t xml:space="preserve">L’absence de coût de fonctionnement s’explique par le fait que les réunions du comité se tiennent dans les locaux du ministère ou en visioconférence. Les participants ne sont pas défrayés.</t>
  </si>
  <si>
    <t xml:space="preserve">Comité technique permanent de la sélection des plantes cultivées</t>
  </si>
  <si>
    <t xml:space="preserve">Articles D. 661-1 à D. 661-11 du code rural et de la pêche maritime</t>
  </si>
  <si>
    <t xml:space="preserve">Commission des comptes de l'agriculture de la Nation</t>
  </si>
  <si>
    <t xml:space="preserve">Décret n° 2001-863 du 14 septembre 2001 relatif à la commission des comptes de l'agriculture de la nation</t>
  </si>
  <si>
    <t xml:space="preserve">Commission professionnelle consultative "Agriculture, agroalimentaire et aménagement des espaces"</t>
  </si>
  <si>
    <t xml:space="preserve">Articles L. 6113-3 et R. 6113- 21 à R. 6113-26 du code du travail Décret n° 2019-958 du 13 septembre 2019 instituant les commissions professionnelles consultatives chargées d'examiner les projets de création, de révision ou de suppression de diplômes et titres à finalité professionnelle délivrés au nom de l'Etat</t>
  </si>
  <si>
    <t xml:space="preserve">Commission supérieure des maladies professionnelles en agriculture</t>
  </si>
  <si>
    <t xml:space="preserve">Articles D. 751-19 et suivants du code rural et de la pêche maritime</t>
  </si>
  <si>
    <t xml:space="preserve">La baisse de coût entre 2023 et 2024 peut s'expliquer par un recours plus régulier à la visio-conférence. En outre, Il y a eu une erreur de conversion en milliers d'euros les années précédentes, qui est corrigée dans la présente édition de l’annexe budgétaire.</t>
  </si>
  <si>
    <t xml:space="preserve">Conseil de surveillance chargé du suivi et du contrôle de la recherche et de la mise en œuvre d'alternatives aux produits phytopharmaceutiques contenant une ou des substances actives de la famille des néonicotinoïdes ou présentant des modes d'action identiques à ceux de ces substances</t>
  </si>
  <si>
    <t xml:space="preserve">Loi n° 2020-1578 du 14 décembre 2020 relative aux conditions de mise sur le marché de certains produits phytopharmaceutiques en cas de danger sanitaire pour les betteraves sucrières (Article 1) - NOR : AGRS2021912L Décret n° 2020-1600 du 16 décembre 2020 relatif à la composition, à l'organisation et au fonctionnement du conseil de surveillance prévu à l'article L. 253-8 du code rural et de la pêche maritime - NOR : AGRG2033415D II bis de l'article L. 253-8 du code rural et de la pêche maritime Article D. 253-54- 3 du code rural et de la pêche maritime</t>
  </si>
  <si>
    <t xml:space="preserve">Le conseil de surveillance ne s'est plus réuni depuis 2023, à la suite de l'arrêt de l'octroi de dérogations pour l'imidaclopride et le thiametoxam appliqués en traitement de semences en filière betteravière.</t>
  </si>
  <si>
    <t xml:space="preserve">Conseil national d'orientation de la politique sanitaire animale et végétale</t>
  </si>
  <si>
    <t xml:space="preserve">Décret n° 2012-846 du 30 juin 2012 relatif au Conseil national d'orientation de la politique sanitaire animale et végétale - D.200-2 à D.200-4 du code rural et de la pêche maritime</t>
  </si>
  <si>
    <t xml:space="preserve">Les conditions inhérentes au bureau de la santé des végétaux n'ont pas permis l'organisation d'un CNOPSAV SV en 2024. En revanche, la section « santé végétale » du CNOPSAV s’est tenue le 1er juillet 2025, ainsi qu'un CNOPSAV plénier en 2025 présidé par la ministre en charge de l'agriculture.</t>
  </si>
  <si>
    <t xml:space="preserve">Conseil national de l'alimentation</t>
  </si>
  <si>
    <t xml:space="preserve">Article L. 1 du code rural et de la pêche maritime. Articles D. 824-1 à D. 824-8 du code de la consommation.</t>
  </si>
  <si>
    <t xml:space="preserve">Les dépenses 2024 (365k€) sont légèrement inférieures à la prévision (385k€), notamment à la suite de l'annulation de la plénière décentralisée prévue à Rennes en juillet 2024. Le</t>
  </si>
  <si>
    <t xml:space="preserve">Conseil national de l'enseignement agricole</t>
  </si>
  <si>
    <t xml:space="preserve">Articles L. 814-1 et L. 814-2 et R. 814-1 à R. 814-9 du code rural et de la pêche maritime. Décret n°2024- 1145 du 4 décembre 2024 modifiant la composition et le fonctionnement du Comité national de l'enseignement agricole et des comités régionaux de l'enseignement agricole</t>
  </si>
  <si>
    <t xml:space="preserve">Conseil national de l'enseignement supérieur et de la recherche agricole, agroalimentaire et vétérinaire</t>
  </si>
  <si>
    <t xml:space="preserve">Articles L. 814-3 et L. 814-4 et R.814-10 à R.814-30 du code rural et de la pêche maritime</t>
  </si>
  <si>
    <t xml:space="preserve">Conseil supérieur d'orientation et de coordination de l'économie agricole et alimentaire et commissions techniques</t>
  </si>
  <si>
    <t xml:space="preserve">Articles L. 611-1, R. 611-1 et D. 611-4 et suivants du code rural et de la pêche maritime Loi 80-502 article 4</t>
  </si>
  <si>
    <t xml:space="preserve">Conseil supérieur de la forêt et du bois</t>
  </si>
  <si>
    <t xml:space="preserve">Article L. 113-1 et D. 113-1 à D. 113-5 du code forestier. Décret n° 2023-180 du 15 mars 2023 portant modification de la composition du Conseil supérieur de la forêt et du bois</t>
  </si>
  <si>
    <t xml:space="preserve">Après une première réunion du conseil au 1er semestre 2024, une autre réunion devait se tenir au second semestre mais a finalement été reportée sine die compte tenu des remaniements gouvernementaux successifs. En revanche, les comités spécialisés rattachés à ce Conseil et autres commissions rattachées à ces comités ont continué à se tenir. En 2024, 10 réunions de ces instances ont été organisées.</t>
  </si>
  <si>
    <t xml:space="preserve">Conseil supérieur des prestations sociales agricoles</t>
  </si>
  <si>
    <t xml:space="preserve">Loi n° 2018-699 du 3 août 2018 visant à garantir la présence des parlementaires dans certains organismes extérieurs au Parlement et à simplifier les modalités de leur nomination Articles L.721-3, L. 731-35-1 , D. 721- 1 à D. 721-9 et suivants du code rural et de la pêche maritime.</t>
  </si>
  <si>
    <t xml:space="preserve">L'arrêté du 6 novembre 2020 portant nomination des membres du CSPSA pour 5 ans doit être renouvelé en 2025.</t>
  </si>
  <si>
    <t xml:space="preserve">Observatoire de l'alimentation</t>
  </si>
  <si>
    <t xml:space="preserve">Articles L. 230-3 et D. 230-1 et suivants du code rural et de la pêche maritime</t>
  </si>
  <si>
    <t xml:space="preserve">Le coût de fonctionnement indiqué n'est pas lié au seul fonctionnement des réunions consultatives, mais également à l'activité de l'observatoire pour suivre l'évolution de la qualité nutritionnelle de l'offre alimentaire. Le coût indiqué en 2023 ne représentait que la contribution du MASA. Le ministère du travail, de la santé, des solidarités et des familles contribue également à hauteur de 350k€/an, et l’Agence nationale de sécurité sanitaire de l’alimentation, de l’environnement et du travail et l’Institut national de recherche pour l'agriculture, l'alimentation et l'environnement contribuent par la mise à disposition de personnels permanents. La hausse des coûts en 2024 s’explique par l’intégration des coûts à la charge du MTSS.</t>
  </si>
  <si>
    <t xml:space="preserve">Observatoire de la formation des prix et des marges des produits alimentaires</t>
  </si>
  <si>
    <t xml:space="preserve">Articles L. 682-1, D. 682-1 à D. 682-4 et suivants du code rural et de la pêche maritime</t>
  </si>
  <si>
    <t xml:space="preserve">Observatoire des espaces naturels, agricoles et forestiers ( Ex - Observatoire de la consommation des espaces agricoles)</t>
  </si>
  <si>
    <t xml:space="preserve">Articles L. 112-1 et D. 112-1- 12 et suivants du code rural et de la pêche maritime LOI n° 2010-874 du 27 juillet 2010 de modernisation de l'agriculture et de la pêche (art 51) Décret n°2011-786 du 28 juin 2011 La loi n°2014-1170 du 13 octobre 2014 (art. 25) a modifié son intitulé à l'article L.112-1 CRPM. Décret 2015-779 du 29 juin 2015 relatif à l'observatoire des espaces naturels, agricoles et forestiers</t>
  </si>
  <si>
    <t xml:space="preserve">Une réflexion sur le devenir de cet observatoire est en cours.</t>
  </si>
  <si>
    <t xml:space="preserve">Action publique, fonction publique et simplification</t>
  </si>
  <si>
    <t xml:space="preserve">Comité interministériel consultatif d'action sociale des administrations de l'État et ses 5 commissions permanentes : logement et restauration ; famille, enfance, culture, loisirs, sports, vacances et retraités ; pilotage des SRIAS ; budget</t>
  </si>
  <si>
    <t xml:space="preserve">Décret n° 2006-21 du 6 janvier 2006 relatif à l'action sociale au bénéfice des personnels de l'Etat Arrêté du 29 juin 2006 fixant la composition et le fonctionnement du comité interministériel consultatif d'action sociale des administrations de l'Etat</t>
  </si>
  <si>
    <t xml:space="preserve">Le chiffre 2024 intègre le coût du CIAS du 4ème trimestre 2023, décalé sur 2024. De la même manière, le CIAS T4 2024 a été reporté sur 2025.</t>
  </si>
  <si>
    <t xml:space="preserve">Comité médical en formation plénière</t>
  </si>
  <si>
    <t xml:space="preserve">Décret n°86-442 modifié du 14 mars 1986 Décret n°2022-353 du 11 mars 2022 modifiant la commission de réforme (Article L.31 et R.45 et suivants du code des pensions civiles et militaires de retraite) en conseil médical</t>
  </si>
  <si>
    <t xml:space="preserve">La hausse du coût s'explique principalement par l'augmentation du nombre d'expertises chez les spécialistes agréés nécessaires à l'instruction des dossiers de plus en plus nombreux à passer en conseil médical en formation plénière.</t>
  </si>
  <si>
    <t xml:space="preserve">Commission nationale du label « Services Publics + »</t>
  </si>
  <si>
    <t xml:space="preserve">Arrêté du 31 août 2023 portant création du label « Services Publics + »</t>
  </si>
  <si>
    <t xml:space="preserve">Les seuls frais spécifiques au comité pour 265 € sont liés à la prise en charge de frais de déplacements (en train) d'un membre résidant en province afin de lui permettre d'assister à la seule réunion du comité, qui s'est tenue le 28 mars 2024. Tous les autres frais sont couverts par les crédits de la DITP (pas d'indemnités ou de masse salariale propre).</t>
  </si>
  <si>
    <t xml:space="preserve">Conseil commun de la fonction publique</t>
  </si>
  <si>
    <t xml:space="preserve">Loi n° 83-634 du 13 juillet 1983 portant droits et obligations des fonctionnaires (article 9 ter) créé par la loi n° 2010- 751 du 5 juillet 2010 relative à la rénovation du dialogue social et comportant diverses dispositions relatives à la fonction publique Décret n° 2012-148 du 30 janvier 2012 relatif au Conseil commun de la fonction publique modifié par le décret n°2016-1320 du 5 octobre 2016</t>
  </si>
  <si>
    <t xml:space="preserve">Le nombre de séances des conseils présidées par le ministre ont diminué en 2024. Les dépenses de bouche ont par ailleurs diminué de 45 %.</t>
  </si>
  <si>
    <t xml:space="preserve">Conseil supérieur de la fonction publique de l'État</t>
  </si>
  <si>
    <t xml:space="preserve">Loi n° 84-16 du 11 janvier 1984 portant dispositions statutaires relatives à la fonction publique de l'Etat (article 13) Décret n°2012- 225 du 16 février 2012 relatif au Conseil supérieur de la fonction publique de l'Etat abrogeant le décret n° 82-450 du 28 mai 1982 relatif au Conseil supérieur de la fonction publique de l'Etat</t>
  </si>
  <si>
    <t xml:space="preserve">La hausse du coût s'explique par la variation de la masse salariale.</t>
  </si>
  <si>
    <t xml:space="preserve">Banque de France</t>
  </si>
  <si>
    <t xml:space="preserve">Observatoire de la sécurité des moyens de paiement</t>
  </si>
  <si>
    <t xml:space="preserve">Articles L. 141-4, R. 141-1 et R. 141-2 ; R. 142-22 à R. 142- 27 du code monétaire et financier</t>
  </si>
  <si>
    <t xml:space="preserve">Les coûts indiqués ne tiennent compte que des dépenses directes de fonctionnement, qui sont prises en charge par la Banque de France. Les frais de personnel pour le secrétariat de l’OSMP – également pris en charge par la Banque de France - n’y sont pas repris, les agents concernés n’étant pas exclusivement affectés à l’OSMP. Ces dépenses directes de fonctionnement couvrent les frais d’impression du rapport annuel dont l’externalisation de l’impression a coûté 1800 euros. En outre, l’organisation d’une conférence externe pour valoriser les travaux de veille de l’observatoire aura coûté 2100 euros.</t>
  </si>
  <si>
    <t xml:space="preserve">Ministère</t>
  </si>
  <si>
    <t xml:space="preserve">Intitulé de l'instance</t>
  </si>
  <si>
    <t xml:space="preserve">supprimée depuis 2024</t>
  </si>
  <si>
    <t xml:space="preserve">Comité de suivi de l'expérimentation de l'accompagnement des transitions professionnelles</t>
  </si>
  <si>
    <t xml:space="preserve">Comité de normalisation des données sociales déclaratives et de leurs échanges</t>
  </si>
  <si>
    <t xml:space="preserve">Conseil de l’inclusion dans l’emploi</t>
  </si>
  <si>
    <t xml:space="preserve">Economie, finances, souveraineté industrielle et numérique</t>
  </si>
  <si>
    <t xml:space="preserve">Commission nationale des services</t>
  </si>
  <si>
    <t xml:space="preserve">Commission de concertation du commerce</t>
  </si>
  <si>
    <t xml:space="preserve">Comité consultatif du musée national Fernand Léger</t>
  </si>
</sst>
</file>

<file path=xl/styles.xml><?xml version="1.0" encoding="utf-8"?>
<styleSheet xmlns="http://schemas.openxmlformats.org/spreadsheetml/2006/main">
  <numFmts count="15">
    <numFmt numFmtId="164" formatCode="General"/>
    <numFmt numFmtId="165" formatCode="#,##0"/>
    <numFmt numFmtId="166" formatCode="_-* #,##0.00&quot; €&quot;_-;\-* #,##0.00&quot; €&quot;_-;_-* \-??&quot; €&quot;_-;_-@_-"/>
    <numFmt numFmtId="167" formatCode="0"/>
    <numFmt numFmtId="168" formatCode="_-* #,##0.00\ _F_-;\-* #,##0.00\ _F_-;_-* \-??\ _F_-;_-@_-"/>
    <numFmt numFmtId="169" formatCode="_-* #,##0.00\ _€_-;\-* #,##0.00\ _€_-;_-* \-??\ _€_-;_-@_-"/>
    <numFmt numFmtId="170" formatCode="_-* #,##0.00_-;\-* #,##0.00_-;_-* \-??_-;_-@_-"/>
    <numFmt numFmtId="171" formatCode="0%"/>
    <numFmt numFmtId="172" formatCode="#,##0.00\ [$€-407];[RED]\-#,##0.00\ [$€-407]"/>
    <numFmt numFmtId="173" formatCode="#,##0.0"/>
    <numFmt numFmtId="174" formatCode="#,##0_ ;\-#,##0\ "/>
    <numFmt numFmtId="175" formatCode="@"/>
    <numFmt numFmtId="176" formatCode="0.00"/>
    <numFmt numFmtId="177" formatCode="#\ ##0;\-#\ ##0;\-"/>
    <numFmt numFmtId="178" formatCode="#\ ##,000;\-#\ ##,000;\-"/>
  </numFmts>
  <fonts count="62">
    <font>
      <sz val="10"/>
      <name val="Arial"/>
      <family val="0"/>
    </font>
    <font>
      <sz val="10"/>
      <name val="Arial"/>
      <family val="0"/>
    </font>
    <font>
      <sz val="10"/>
      <name val="Arial"/>
      <family val="0"/>
    </font>
    <font>
      <sz val="10"/>
      <name val="Arial"/>
      <family val="0"/>
    </font>
    <font>
      <sz val="11"/>
      <color rgb="FF000000"/>
      <name val="Calibri"/>
      <family val="2"/>
    </font>
    <font>
      <sz val="11"/>
      <color rgb="FFFFFFFF"/>
      <name val="Calibri"/>
      <family val="2"/>
    </font>
    <font>
      <sz val="11"/>
      <color rgb="FFFF0000"/>
      <name val="Calibri"/>
      <family val="2"/>
    </font>
    <font>
      <b val="true"/>
      <sz val="11"/>
      <color rgb="FFFF9900"/>
      <name val="Calibri"/>
      <family val="2"/>
    </font>
    <font>
      <sz val="11"/>
      <color rgb="FFFF9900"/>
      <name val="Calibri"/>
      <family val="2"/>
    </font>
    <font>
      <u val="single"/>
      <sz val="10"/>
      <name val="Arial"/>
      <family val="2"/>
    </font>
    <font>
      <b val="true"/>
      <sz val="8"/>
      <name val="Times New Roman"/>
      <family val="0"/>
    </font>
    <font>
      <b val="true"/>
      <i val="true"/>
      <sz val="16"/>
      <name val="Arial"/>
      <family val="2"/>
      <charset val="1"/>
    </font>
    <font>
      <sz val="11"/>
      <color rgb="FF333399"/>
      <name val="Calibri"/>
      <family val="2"/>
    </font>
    <font>
      <sz val="10"/>
      <name val="Times New Roman"/>
      <family val="1"/>
    </font>
    <font>
      <sz val="11"/>
      <color rgb="FF800080"/>
      <name val="Calibri"/>
      <family val="2"/>
    </font>
    <font>
      <u val="single"/>
      <sz val="11"/>
      <color rgb="FF0066CC"/>
      <name val="Arial"/>
      <family val="2"/>
      <charset val="1"/>
    </font>
    <font>
      <u val="single"/>
      <sz val="11"/>
      <color rgb="FF0066CC"/>
      <name val="Calibri"/>
      <family val="2"/>
    </font>
    <font>
      <sz val="8"/>
      <name val="Arial"/>
      <family val="2"/>
    </font>
    <font>
      <sz val="10"/>
      <name val="Arial"/>
      <family val="2"/>
    </font>
    <font>
      <sz val="11"/>
      <color rgb="FF993300"/>
      <name val="Calibri"/>
      <family val="2"/>
    </font>
    <font>
      <sz val="11"/>
      <color rgb="FF333333"/>
      <name val="Calibri"/>
      <family val="2"/>
      <charset val="1"/>
    </font>
    <font>
      <sz val="11"/>
      <color rgb="FF333333"/>
      <name val="Arial"/>
      <family val="2"/>
      <charset val="1"/>
    </font>
    <font>
      <sz val="10"/>
      <name val="Arial"/>
      <family val="2"/>
      <charset val="1"/>
    </font>
    <font>
      <sz val="6"/>
      <name val="Times New Roman"/>
      <family val="0"/>
    </font>
    <font>
      <b val="true"/>
      <i val="true"/>
      <u val="single"/>
      <sz val="10"/>
      <name val="Arial"/>
      <family val="2"/>
      <charset val="1"/>
    </font>
    <font>
      <b val="true"/>
      <sz val="8"/>
      <name val="Arial"/>
      <family val="2"/>
    </font>
    <font>
      <sz val="10"/>
      <color rgb="FFFF0000"/>
      <name val="Arial"/>
      <family val="2"/>
      <charset val="1"/>
    </font>
    <font>
      <sz val="11"/>
      <color rgb="FF008000"/>
      <name val="Calibri"/>
      <family val="2"/>
    </font>
    <font>
      <b val="true"/>
      <sz val="9"/>
      <name val="Arial"/>
      <family val="2"/>
    </font>
    <font>
      <b val="true"/>
      <sz val="11"/>
      <color rgb="FF333333"/>
      <name val="Calibri"/>
      <family val="2"/>
    </font>
    <font>
      <i val="true"/>
      <sz val="8"/>
      <name val="Times New Roman"/>
      <family val="0"/>
    </font>
    <font>
      <sz val="8"/>
      <name val="Times New Roman"/>
      <family val="0"/>
    </font>
    <font>
      <i val="true"/>
      <sz val="11"/>
      <color rgb="FF808080"/>
      <name val="Calibri"/>
      <family val="2"/>
    </font>
    <font>
      <b val="true"/>
      <sz val="18"/>
      <color rgb="FF666699"/>
      <name val="Calibri Light"/>
      <family val="2"/>
    </font>
    <font>
      <b val="true"/>
      <sz val="18"/>
      <color rgb="FF003366"/>
      <name val="Cambria"/>
      <family val="2"/>
    </font>
    <font>
      <b val="true"/>
      <sz val="10"/>
      <name val="Times New Roman"/>
      <family val="1"/>
    </font>
    <font>
      <b val="true"/>
      <sz val="15"/>
      <color rgb="FF666699"/>
      <name val="Calibri"/>
      <family val="2"/>
    </font>
    <font>
      <b val="true"/>
      <sz val="15"/>
      <color rgb="FF003366"/>
      <name val="Calibri"/>
      <family val="2"/>
    </font>
    <font>
      <b val="true"/>
      <sz val="13"/>
      <color rgb="FF666699"/>
      <name val="Calibri"/>
      <family val="2"/>
    </font>
    <font>
      <b val="true"/>
      <sz val="13"/>
      <color rgb="FF003366"/>
      <name val="Calibri"/>
      <family val="2"/>
    </font>
    <font>
      <b val="true"/>
      <sz val="11"/>
      <color rgb="FF666699"/>
      <name val="Calibri"/>
      <family val="2"/>
    </font>
    <font>
      <b val="true"/>
      <sz val="11"/>
      <color rgb="FF003366"/>
      <name val="Calibri"/>
      <family val="2"/>
    </font>
    <font>
      <b val="true"/>
      <sz val="11"/>
      <color rgb="FF000000"/>
      <name val="Calibri"/>
      <family val="2"/>
    </font>
    <font>
      <b val="true"/>
      <sz val="10"/>
      <name val="Arial"/>
      <family val="2"/>
    </font>
    <font>
      <b val="true"/>
      <sz val="11"/>
      <color rgb="FFFFFFFF"/>
      <name val="Calibri"/>
      <family val="2"/>
    </font>
    <font>
      <b val="true"/>
      <sz val="10"/>
      <color rgb="FFFFFFFF"/>
      <name val="Arial"/>
      <family val="2"/>
    </font>
    <font>
      <i val="true"/>
      <sz val="10"/>
      <name val="Arial"/>
      <family val="2"/>
    </font>
    <font>
      <b val="true"/>
      <i val="true"/>
      <sz val="10"/>
      <name val="Arial"/>
      <family val="2"/>
    </font>
    <font>
      <sz val="10"/>
      <color rgb="FF000000"/>
      <name val="Arial"/>
      <family val="2"/>
    </font>
    <font>
      <vertAlign val="superscript"/>
      <sz val="10"/>
      <name val="Arial"/>
      <family val="2"/>
    </font>
    <font>
      <b val="true"/>
      <vertAlign val="superscript"/>
      <sz val="10"/>
      <name val="Arial"/>
      <family val="2"/>
    </font>
    <font>
      <sz val="8"/>
      <color rgb="FF000000"/>
      <name val="Arial"/>
      <family val="2"/>
    </font>
    <font>
      <b val="true"/>
      <sz val="10"/>
      <color rgb="FF000000"/>
      <name val="Arial"/>
      <family val="2"/>
    </font>
    <font>
      <vertAlign val="superscript"/>
      <sz val="10"/>
      <color rgb="FF000000"/>
      <name val="Arial"/>
      <family val="2"/>
    </font>
    <font>
      <b val="true"/>
      <vertAlign val="superscript"/>
      <sz val="10"/>
      <color rgb="FF000000"/>
      <name val="Arial"/>
      <family val="2"/>
    </font>
    <font>
      <sz val="10"/>
      <color rgb="FF003366"/>
      <name val="Arial"/>
      <family val="2"/>
    </font>
    <font>
      <sz val="8"/>
      <color rgb="FF800000"/>
      <name val="Arial"/>
      <family val="2"/>
    </font>
    <font>
      <i val="true"/>
      <sz val="8"/>
      <name val="Arial"/>
      <family val="2"/>
    </font>
    <font>
      <i val="true"/>
      <sz val="8"/>
      <color rgb="FF800000"/>
      <name val="Arial"/>
      <family val="2"/>
    </font>
    <font>
      <sz val="8"/>
      <color rgb="FF800080"/>
      <name val="Arial"/>
      <family val="2"/>
    </font>
    <font>
      <b val="true"/>
      <sz val="10"/>
      <name val="Arial"/>
      <family val="0"/>
      <charset val="1"/>
    </font>
    <font>
      <sz val="10"/>
      <name val="Arial"/>
      <family val="0"/>
      <charset val="1"/>
    </font>
  </fonts>
  <fills count="29">
    <fill>
      <patternFill patternType="none"/>
    </fill>
    <fill>
      <patternFill patternType="gray125"/>
    </fill>
    <fill>
      <patternFill patternType="solid">
        <fgColor rgb="FFCCCCFF"/>
        <bgColor rgb="FFDDD7CD"/>
      </patternFill>
    </fill>
    <fill>
      <patternFill patternType="solid">
        <fgColor rgb="FFFFCC99"/>
        <bgColor rgb="FFDDD7CD"/>
      </patternFill>
    </fill>
    <fill>
      <patternFill patternType="solid">
        <fgColor rgb="FFFF99CC"/>
        <bgColor rgb="FFFF8080"/>
      </patternFill>
    </fill>
    <fill>
      <patternFill patternType="solid">
        <fgColor rgb="FFFFFFFF"/>
        <bgColor rgb="FFF6F2EA"/>
      </patternFill>
    </fill>
    <fill>
      <patternFill patternType="solid">
        <fgColor rgb="FFCCFFCC"/>
        <bgColor rgb="FFCCFFFF"/>
      </patternFill>
    </fill>
    <fill>
      <patternFill patternType="solid">
        <fgColor rgb="FFFFFFCC"/>
        <bgColor rgb="FFF6F2EA"/>
      </patternFill>
    </fill>
    <fill>
      <patternFill patternType="solid">
        <fgColor rgb="FFCC99FF"/>
        <bgColor rgb="FFFF99CC"/>
      </patternFill>
    </fill>
    <fill>
      <patternFill patternType="solid">
        <fgColor rgb="FFCCFFFF"/>
        <bgColor rgb="FFCCFFCC"/>
      </patternFill>
    </fill>
    <fill>
      <patternFill patternType="solid">
        <fgColor rgb="FF99CCFF"/>
        <bgColor rgb="FFCCCCFF"/>
      </patternFill>
    </fill>
    <fill>
      <patternFill patternType="solid">
        <fgColor rgb="FFFF8080"/>
        <bgColor rgb="FFFF99CC"/>
      </patternFill>
    </fill>
    <fill>
      <patternFill patternType="solid">
        <fgColor rgb="FFC0C0C0"/>
        <bgColor rgb="FFCCCCFF"/>
      </patternFill>
    </fill>
    <fill>
      <patternFill patternType="solid">
        <fgColor rgb="FF00FF00"/>
        <bgColor rgb="FF33CCCC"/>
      </patternFill>
    </fill>
    <fill>
      <patternFill patternType="solid">
        <fgColor rgb="FFFFFF99"/>
        <bgColor rgb="FFFFFFCC"/>
      </patternFill>
    </fill>
    <fill>
      <patternFill patternType="solid">
        <fgColor rgb="FFFFCC00"/>
        <bgColor rgb="FFFF9900"/>
      </patternFill>
    </fill>
    <fill>
      <patternFill patternType="solid">
        <fgColor rgb="FF33CCCC"/>
        <bgColor rgb="FF00CCFF"/>
      </patternFill>
    </fill>
    <fill>
      <patternFill patternType="solid">
        <fgColor rgb="FF0066CC"/>
        <bgColor rgb="FF008080"/>
      </patternFill>
    </fill>
    <fill>
      <patternFill patternType="solid">
        <fgColor rgb="FF800080"/>
        <bgColor rgb="FF800080"/>
      </patternFill>
    </fill>
    <fill>
      <patternFill patternType="solid">
        <fgColor rgb="FF339966"/>
        <bgColor rgb="FF008080"/>
      </patternFill>
    </fill>
    <fill>
      <patternFill patternType="solid">
        <fgColor rgb="FFFF9900"/>
        <bgColor rgb="FFFFCC00"/>
      </patternFill>
    </fill>
    <fill>
      <patternFill patternType="solid">
        <fgColor rgb="FF333399"/>
        <bgColor rgb="FF003366"/>
      </patternFill>
    </fill>
    <fill>
      <patternFill patternType="solid">
        <fgColor rgb="FFFF6600"/>
        <bgColor rgb="FFFF9900"/>
      </patternFill>
    </fill>
    <fill>
      <patternFill patternType="solid">
        <fgColor rgb="FFFF0000"/>
        <bgColor rgb="FF993300"/>
      </patternFill>
    </fill>
    <fill>
      <patternFill patternType="solid">
        <fgColor rgb="FF969696"/>
        <bgColor rgb="FF808080"/>
      </patternFill>
    </fill>
    <fill>
      <patternFill patternType="solid">
        <fgColor rgb="FFDFDFDF"/>
        <bgColor rgb="FFDDD7CD"/>
      </patternFill>
    </fill>
    <fill>
      <patternFill patternType="solid">
        <fgColor rgb="FFEFEFEF"/>
        <bgColor rgb="FFF6F2EA"/>
      </patternFill>
    </fill>
    <fill>
      <patternFill patternType="solid">
        <fgColor rgb="FF808080"/>
        <bgColor rgb="FF969696"/>
      </patternFill>
    </fill>
    <fill>
      <patternFill patternType="solid">
        <fgColor rgb="FFF6F2EA"/>
        <bgColor rgb="FFEFEFEF"/>
      </patternFill>
    </fill>
  </fills>
  <borders count="55">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right/>
      <top style="hair"/>
      <bottom/>
      <diagonal/>
    </border>
    <border diagonalUp="false" diagonalDown="false">
      <left/>
      <right/>
      <top/>
      <bottom style="medium"/>
      <diagonal/>
    </border>
    <border diagonalUp="false" diagonalDown="false">
      <left style="medium"/>
      <right/>
      <top/>
      <bottom style="thin"/>
      <diagonal/>
    </border>
    <border diagonalUp="false" diagonalDown="false">
      <left style="medium"/>
      <right/>
      <top style="thin"/>
      <bottom style="thin"/>
      <diagonal/>
    </border>
    <border diagonalUp="false" diagonalDown="false">
      <left style="medium"/>
      <right style="thin"/>
      <top/>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hair"/>
      <bottom style="hair"/>
      <diagonal/>
    </border>
    <border diagonalUp="false" diagonalDown="false">
      <left style="thin"/>
      <right style="medium"/>
      <top/>
      <bottom style="thin"/>
      <diagonal/>
    </border>
    <border diagonalUp="false" diagonalDown="false">
      <left/>
      <right/>
      <top/>
      <bottom style="thick">
        <color rgb="FF333399"/>
      </bottom>
      <diagonal/>
    </border>
    <border diagonalUp="false" diagonalDown="false">
      <left/>
      <right/>
      <top/>
      <bottom style="thick">
        <color rgb="FF99CCFF"/>
      </bottom>
      <diagonal/>
    </border>
    <border diagonalUp="false" diagonalDown="false">
      <left/>
      <right/>
      <top/>
      <bottom style="thick">
        <color rgb="FFC0C0C0"/>
      </bottom>
      <diagonal/>
    </border>
    <border diagonalUp="false" diagonalDown="false">
      <left/>
      <right/>
      <top/>
      <bottom style="medium">
        <color rgb="FF33CCCC"/>
      </bottom>
      <diagonal/>
    </border>
    <border diagonalUp="false" diagonalDown="false">
      <left/>
      <right/>
      <top/>
      <bottom style="medium">
        <color rgb="FF0066CC"/>
      </bottom>
      <diagonal/>
    </border>
    <border diagonalUp="false" diagonalDown="false">
      <left/>
      <right/>
      <top style="thin">
        <color rgb="FF333399"/>
      </top>
      <bottom style="double">
        <color rgb="FF333399"/>
      </bottom>
      <diagonal/>
    </border>
    <border diagonalUp="false" diagonalDown="false">
      <left style="thin"/>
      <right style="thin"/>
      <top style="medium"/>
      <bottom style="medium"/>
      <diagonal/>
    </border>
    <border diagonalUp="false" diagonalDown="false">
      <left/>
      <right style="medium"/>
      <top/>
      <bottom style="thin"/>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bottom/>
      <diagonal/>
    </border>
    <border diagonalUp="false" diagonalDown="false">
      <left style="medium"/>
      <right/>
      <top/>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color rgb="FFC0C0C0"/>
      </left>
      <right style="medium">
        <color rgb="FFC0C0C0"/>
      </right>
      <top style="medium">
        <color rgb="FFC0C0C0"/>
      </top>
      <bottom style="medium">
        <color rgb="FFC0C0C0"/>
      </bottom>
      <diagonal/>
    </border>
    <border diagonalUp="false" diagonalDown="false">
      <left style="medium">
        <color rgb="FFC0C0C0"/>
      </left>
      <right/>
      <top/>
      <bottom/>
      <diagonal/>
    </border>
    <border diagonalUp="false" diagonalDown="false">
      <left style="thin"/>
      <right/>
      <top style="thin"/>
      <bottom/>
      <diagonal/>
    </border>
    <border diagonalUp="false" diagonalDown="false">
      <left/>
      <right/>
      <top style="thin"/>
      <bottom/>
      <diagonal/>
    </border>
    <border diagonalUp="false" diagonalDown="false">
      <left style="thin"/>
      <right style="thin"/>
      <top style="thin"/>
      <bottom/>
      <diagonal/>
    </border>
    <border diagonalUp="false" diagonalDown="false">
      <left style="thin"/>
      <right/>
      <top/>
      <bottom/>
      <diagonal/>
    </border>
    <border diagonalUp="false" diagonalDown="false">
      <left style="thin"/>
      <right style="thin"/>
      <top/>
      <bottom/>
      <diagonal/>
    </border>
    <border diagonalUp="false" diagonalDown="false">
      <left style="thin"/>
      <right/>
      <top/>
      <bottom style="thin"/>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thin"/>
      <bottom/>
      <diagonal/>
    </border>
    <border diagonalUp="false" diagonalDown="false">
      <left style="thin"/>
      <right style="thin"/>
      <top/>
      <bottom style="double"/>
      <diagonal/>
    </border>
    <border diagonalUp="false" diagonalDown="false">
      <left/>
      <right style="thin"/>
      <top/>
      <bottom style="double"/>
      <diagonal/>
    </border>
    <border diagonalUp="false" diagonalDown="false">
      <left style="thin"/>
      <right/>
      <top/>
      <bottom style="double"/>
      <diagonal/>
    </border>
    <border diagonalUp="false" diagonalDown="false">
      <left/>
      <right style="thin"/>
      <top/>
      <bottom/>
      <diagonal/>
    </border>
    <border diagonalUp="false" diagonalDown="false">
      <left/>
      <right/>
      <top/>
      <bottom style="thin">
        <color rgb="FFDDD7CD"/>
      </bottom>
      <diagonal/>
    </border>
  </borders>
  <cellStyleXfs count="21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5" borderId="0" applyFont="true" applyBorder="false" applyAlignment="false" applyProtection="false"/>
    <xf numFmtId="164" fontId="4" fillId="6" borderId="0" applyFont="true" applyBorder="false" applyAlignment="false" applyProtection="false"/>
    <xf numFmtId="164" fontId="4" fillId="7" borderId="0" applyFont="true" applyBorder="false" applyAlignment="false" applyProtection="false"/>
    <xf numFmtId="164" fontId="4" fillId="7" borderId="0" applyFont="true" applyBorder="false" applyAlignment="false" applyProtection="false"/>
    <xf numFmtId="164" fontId="4" fillId="7" borderId="0" applyFont="true" applyBorder="false" applyAlignment="false" applyProtection="false"/>
    <xf numFmtId="164" fontId="4" fillId="7" borderId="0" applyFont="true" applyBorder="false" applyAlignment="false" applyProtection="false"/>
    <xf numFmtId="164" fontId="4" fillId="8"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9" borderId="0" applyFont="true" applyBorder="false" applyAlignment="false" applyProtection="false"/>
    <xf numFmtId="164" fontId="4" fillId="6" borderId="0" applyFont="true" applyBorder="false" applyAlignment="false" applyProtection="false"/>
    <xf numFmtId="164" fontId="4" fillId="6" borderId="0" applyFont="true" applyBorder="false" applyAlignment="false" applyProtection="false"/>
    <xf numFmtId="164" fontId="4" fillId="6" borderId="0" applyFont="true" applyBorder="false" applyAlignment="false" applyProtection="false"/>
    <xf numFmtId="164" fontId="4" fillId="6" borderId="0" applyFont="true" applyBorder="false" applyAlignment="false" applyProtection="false"/>
    <xf numFmtId="164" fontId="4" fillId="3"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11" borderId="0" applyFont="true" applyBorder="false" applyAlignment="false" applyProtection="false"/>
    <xf numFmtId="164" fontId="4" fillId="12" borderId="0" applyFont="true" applyBorder="false" applyAlignment="false" applyProtection="false"/>
    <xf numFmtId="164" fontId="4" fillId="12" borderId="0" applyFont="true" applyBorder="false" applyAlignment="false" applyProtection="false"/>
    <xf numFmtId="164" fontId="4" fillId="12" borderId="0" applyFont="true" applyBorder="false" applyAlignment="false" applyProtection="false"/>
    <xf numFmtId="164" fontId="4" fillId="12" borderId="0" applyFont="true" applyBorder="false" applyAlignment="false" applyProtection="false"/>
    <xf numFmtId="164" fontId="4" fillId="13" borderId="0" applyFont="true" applyBorder="false" applyAlignment="false" applyProtection="false"/>
    <xf numFmtId="164" fontId="4" fillId="14" borderId="0" applyFont="true" applyBorder="false" applyAlignment="false" applyProtection="false"/>
    <xf numFmtId="164" fontId="4" fillId="14" borderId="0" applyFont="true" applyBorder="false" applyAlignment="false" applyProtection="false"/>
    <xf numFmtId="164" fontId="4" fillId="14" borderId="0" applyFont="true" applyBorder="false" applyAlignment="false" applyProtection="false"/>
    <xf numFmtId="164" fontId="4" fillId="14" borderId="0" applyFont="true" applyBorder="false" applyAlignment="false" applyProtection="false"/>
    <xf numFmtId="164" fontId="4" fillId="8"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0" borderId="0" applyFont="true" applyBorder="false" applyAlignment="false" applyProtection="false"/>
    <xf numFmtId="164" fontId="4" fillId="14" borderId="0" applyFont="true" applyBorder="false" applyAlignment="false" applyProtection="false"/>
    <xf numFmtId="164" fontId="4" fillId="14" borderId="0" applyFont="true" applyBorder="false" applyAlignment="false" applyProtection="false"/>
    <xf numFmtId="164" fontId="4" fillId="14" borderId="0" applyFont="true" applyBorder="false" applyAlignment="false" applyProtection="false"/>
    <xf numFmtId="164" fontId="4" fillId="14" borderId="0" applyFont="true" applyBorder="false" applyAlignment="false" applyProtection="false"/>
    <xf numFmtId="164" fontId="4" fillId="15" borderId="0" applyFont="true" applyBorder="false" applyAlignment="false" applyProtection="false"/>
    <xf numFmtId="164" fontId="5" fillId="16" borderId="0" applyFont="true" applyBorder="false" applyAlignment="false" applyProtection="false"/>
    <xf numFmtId="164" fontId="5" fillId="17" borderId="0" applyFont="true" applyBorder="false" applyAlignment="false" applyProtection="false"/>
    <xf numFmtId="164" fontId="5" fillId="3" borderId="0" applyFont="true" applyBorder="false" applyAlignment="false" applyProtection="false"/>
    <xf numFmtId="164" fontId="5" fillId="11" borderId="0" applyFont="true" applyBorder="false" applyAlignment="false" applyProtection="false"/>
    <xf numFmtId="164" fontId="5" fillId="12" borderId="0" applyFont="true" applyBorder="false" applyAlignment="false" applyProtection="false"/>
    <xf numFmtId="164" fontId="5" fillId="13" borderId="0" applyFont="true" applyBorder="false" applyAlignment="false" applyProtection="false"/>
    <xf numFmtId="164" fontId="5" fillId="14" borderId="0" applyFont="true" applyBorder="false" applyAlignment="false" applyProtection="false"/>
    <xf numFmtId="164" fontId="5" fillId="18" borderId="0" applyFont="true" applyBorder="false" applyAlignment="false" applyProtection="false"/>
    <xf numFmtId="164" fontId="5" fillId="10" borderId="0" applyFont="true" applyBorder="false" applyAlignment="false" applyProtection="false"/>
    <xf numFmtId="164" fontId="5" fillId="16" borderId="0" applyFont="true" applyBorder="false" applyAlignment="false" applyProtection="false"/>
    <xf numFmtId="164" fontId="5" fillId="19" borderId="0" applyFont="true" applyBorder="false" applyAlignment="false" applyProtection="false"/>
    <xf numFmtId="164" fontId="5" fillId="20" borderId="0" applyFont="true" applyBorder="false" applyAlignment="false" applyProtection="false"/>
    <xf numFmtId="164" fontId="5" fillId="21" borderId="0" applyFont="true" applyBorder="false" applyAlignment="false" applyProtection="false"/>
    <xf numFmtId="164" fontId="5" fillId="21" borderId="0" applyFont="true" applyBorder="false" applyAlignment="false" applyProtection="false"/>
    <xf numFmtId="164" fontId="5" fillId="22" borderId="0" applyFont="true" applyBorder="false" applyAlignment="false" applyProtection="false"/>
    <xf numFmtId="164" fontId="5" fillId="23" borderId="0" applyFont="true" applyBorder="false" applyAlignment="false" applyProtection="false"/>
    <xf numFmtId="164" fontId="5" fillId="24" borderId="0" applyFont="true" applyBorder="false" applyAlignment="false" applyProtection="false"/>
    <xf numFmtId="164" fontId="5" fillId="19" borderId="0" applyFont="true" applyBorder="false" applyAlignment="false" applyProtection="false"/>
    <xf numFmtId="164" fontId="5" fillId="15" borderId="0" applyFont="true" applyBorder="false" applyAlignment="false" applyProtection="false"/>
    <xf numFmtId="164" fontId="5" fillId="18" borderId="0" applyFont="true" applyBorder="false" applyAlignment="false" applyProtection="false"/>
    <xf numFmtId="164" fontId="5" fillId="16" borderId="0" applyFont="true" applyBorder="false" applyAlignment="false" applyProtection="false"/>
    <xf numFmtId="164" fontId="5" fillId="16" borderId="0" applyFont="true" applyBorder="false" applyAlignment="false" applyProtection="false"/>
    <xf numFmtId="164" fontId="5" fillId="19" borderId="0" applyFont="true" applyBorder="false" applyAlignment="false" applyProtection="false"/>
    <xf numFmtId="164" fontId="5" fillId="22" borderId="0" applyFont="true" applyBorder="false" applyAlignment="false" applyProtection="false"/>
    <xf numFmtId="164" fontId="6" fillId="0" borderId="0" applyFont="true" applyBorder="false" applyAlignment="false" applyProtection="false"/>
    <xf numFmtId="164" fontId="6" fillId="0" borderId="0" applyFont="true" applyBorder="false" applyAlignment="false" applyProtection="false"/>
    <xf numFmtId="164" fontId="7" fillId="12" borderId="1" applyFont="true" applyBorder="true" applyAlignment="false" applyProtection="false"/>
    <xf numFmtId="164" fontId="7" fillId="12" borderId="1" applyFont="true" applyBorder="true" applyAlignment="false" applyProtection="false"/>
    <xf numFmtId="164" fontId="7" fillId="12" borderId="1" applyFont="true" applyBorder="true" applyAlignment="false" applyProtection="false"/>
    <xf numFmtId="164" fontId="8" fillId="0" borderId="2" applyFont="true" applyBorder="true" applyAlignment="false" applyProtection="false"/>
    <xf numFmtId="164" fontId="8" fillId="0" borderId="2" applyFont="true" applyBorder="true" applyAlignment="false" applyProtection="false"/>
    <xf numFmtId="164" fontId="0" fillId="7" borderId="3" applyFont="true" applyBorder="true" applyAlignment="false" applyProtection="false"/>
    <xf numFmtId="164" fontId="0" fillId="7" borderId="3" applyFont="true" applyBorder="true" applyAlignment="false" applyProtection="false"/>
    <xf numFmtId="164" fontId="0" fillId="7" borderId="3" applyFont="true" applyBorder="true" applyAlignment="false" applyProtection="false"/>
    <xf numFmtId="165" fontId="9" fillId="0" borderId="0" applyFont="true" applyBorder="true" applyAlignment="true" applyProtection="true">
      <alignment horizontal="general" vertical="center"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false" applyAlignment="true" applyProtection="false">
      <alignment horizontal="center" vertical="bottom" textRotation="0" wrapText="false" indent="0" shrinkToFit="false"/>
    </xf>
    <xf numFmtId="164" fontId="12" fillId="3" borderId="1" applyFont="true" applyBorder="true" applyAlignment="false" applyProtection="false"/>
    <xf numFmtId="164" fontId="12" fillId="3" borderId="1" applyFont="true" applyBorder="true" applyAlignment="false" applyProtection="false"/>
    <xf numFmtId="164" fontId="12" fillId="3" borderId="1" applyFont="true" applyBorder="tru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6" fontId="0" fillId="0" borderId="0" applyFont="true" applyBorder="false" applyAlignment="false" applyProtection="false"/>
    <xf numFmtId="164" fontId="13" fillId="0" borderId="4" applyFont="true" applyBorder="true" applyAlignment="true" applyProtection="true">
      <alignment horizontal="general" vertical="bottom" textRotation="0" wrapText="false" indent="0" shrinkToFit="false"/>
      <protection locked="true" hidden="false"/>
    </xf>
    <xf numFmtId="164" fontId="14" fillId="4" borderId="0" applyFont="true" applyBorder="false" applyAlignment="false" applyProtection="false"/>
    <xf numFmtId="164" fontId="14" fillId="4" borderId="0" applyFont="true" applyBorder="false" applyAlignment="false" applyProtection="false"/>
    <xf numFmtId="167" fontId="13" fillId="0" borderId="0" applyFont="true" applyBorder="true" applyAlignment="true" applyProtection="true">
      <alignment horizontal="general" vertical="bottom" textRotation="0" wrapText="false" indent="0" shrinkToFit="false"/>
      <protection locked="true" hidden="false"/>
    </xf>
    <xf numFmtId="164" fontId="15" fillId="0" borderId="0" applyFont="true" applyBorder="false" applyAlignment="true" applyProtection="false">
      <alignment horizontal="general" vertical="bottom" textRotation="0" wrapText="false" indent="0" shrinkToFit="false"/>
    </xf>
    <xf numFmtId="164" fontId="16" fillId="0" borderId="0" applyFont="true" applyBorder="false" applyAlignment="false" applyProtection="false"/>
    <xf numFmtId="165" fontId="17" fillId="25" borderId="5" applyFont="true" applyBorder="true" applyAlignment="true" applyProtection="true">
      <alignment horizontal="center" vertical="center" textRotation="0" wrapText="false" indent="0" shrinkToFit="false"/>
      <protection locked="true" hidden="false"/>
    </xf>
    <xf numFmtId="168"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9" fontId="0" fillId="0" borderId="0" applyFont="true" applyBorder="false" applyAlignment="false" applyProtection="false"/>
    <xf numFmtId="168" fontId="0" fillId="0" borderId="0" applyFont="true" applyBorder="false" applyAlignment="false" applyProtection="false"/>
    <xf numFmtId="170" fontId="0" fillId="0" borderId="0" applyFont="true" applyBorder="false" applyAlignment="false" applyProtection="false"/>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false" applyAlignment="true" applyProtection="false">
      <alignment horizontal="general" vertical="bottom" textRotation="0" wrapText="false" indent="0" shrinkToFit="false"/>
    </xf>
    <xf numFmtId="164" fontId="19" fillId="14" borderId="0" applyFont="true" applyBorder="false" applyAlignment="false" applyProtection="false"/>
    <xf numFmtId="164" fontId="19" fillId="14" borderId="0" applyFont="true" applyBorder="false" applyAlignment="false" applyProtection="false"/>
    <xf numFmtId="164" fontId="17" fillId="0" borderId="6"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0" fillId="7" borderId="3" applyFont="true" applyBorder="true" applyAlignment="false" applyProtection="false"/>
    <xf numFmtId="164" fontId="0" fillId="7" borderId="3" applyFont="true" applyBorder="true" applyAlignment="false" applyProtection="false"/>
    <xf numFmtId="164" fontId="0" fillId="7" borderId="3" applyFont="true" applyBorder="true" applyAlignment="false" applyProtection="false"/>
    <xf numFmtId="164" fontId="23" fillId="0" borderId="0" applyFont="true" applyBorder="true" applyAlignment="true" applyProtection="true">
      <alignment horizontal="left" vertical="bottom" textRotation="0" wrapText="false" indent="0" shrinkToFit="false"/>
      <protection locked="true" hidden="false"/>
    </xf>
    <xf numFmtId="171" fontId="0" fillId="0" borderId="0" applyFont="true" applyBorder="false" applyAlignment="false" applyProtection="false"/>
    <xf numFmtId="171" fontId="0" fillId="0" borderId="0" applyFont="true" applyBorder="false" applyAlignment="false" applyProtection="false"/>
    <xf numFmtId="171" fontId="0" fillId="0" borderId="0" applyFont="true" applyBorder="false" applyAlignment="false" applyProtection="false"/>
    <xf numFmtId="171" fontId="0" fillId="0" borderId="0" applyFont="true" applyBorder="false" applyAlignment="false" applyProtection="false"/>
    <xf numFmtId="164" fontId="10" fillId="0" borderId="0" applyFont="true" applyBorder="true" applyAlignment="true" applyProtection="true">
      <alignment horizontal="general" vertical="bottom" textRotation="0" wrapText="false" indent="0" shrinkToFit="false"/>
      <protection locked="true" hidden="false"/>
    </xf>
    <xf numFmtId="172" fontId="24" fillId="0" borderId="0" applyFont="true" applyBorder="false" applyAlignment="true" applyProtection="false">
      <alignment horizontal="general" vertical="bottom" textRotation="0" wrapText="false" indent="0" shrinkToFit="false"/>
    </xf>
    <xf numFmtId="164" fontId="25" fillId="26" borderId="7" applyFont="true" applyBorder="true" applyAlignment="true" applyProtection="true">
      <alignment horizontal="center" vertical="center" textRotation="0" wrapText="false" indent="0" shrinkToFit="false"/>
      <protection locked="true" hidden="false"/>
    </xf>
    <xf numFmtId="164" fontId="26" fillId="3" borderId="0" applyFont="true" applyBorder="false" applyAlignment="true" applyProtection="false">
      <alignment horizontal="general" vertical="bottom" textRotation="0" wrapText="false" indent="0" shrinkToFit="false"/>
    </xf>
    <xf numFmtId="164" fontId="27" fillId="6" borderId="0" applyFont="true" applyBorder="false" applyAlignment="false" applyProtection="false"/>
    <xf numFmtId="164" fontId="27" fillId="6" borderId="0" applyFont="true" applyBorder="false" applyAlignment="false" applyProtection="false"/>
    <xf numFmtId="165" fontId="28" fillId="0" borderId="8" applyFont="true" applyBorder="true" applyAlignment="true" applyProtection="true">
      <alignment horizontal="center" vertical="center" textRotation="0" wrapText="false" indent="0" shrinkToFit="false"/>
      <protection locked="true" hidden="false"/>
    </xf>
    <xf numFmtId="164" fontId="29" fillId="12" borderId="9" applyFont="true" applyBorder="true" applyAlignment="false" applyProtection="false"/>
    <xf numFmtId="164" fontId="29" fillId="12" borderId="9" applyFont="true" applyBorder="true" applyAlignment="false" applyProtection="false"/>
    <xf numFmtId="164" fontId="29" fillId="12" borderId="9" applyFont="true" applyBorder="true" applyAlignment="false" applyProtection="false"/>
    <xf numFmtId="164" fontId="30" fillId="0" borderId="0" applyFont="true" applyBorder="true" applyAlignment="true" applyProtection="true">
      <alignment horizontal="left" vertical="bottom" textRotation="0" wrapText="false" indent="0" shrinkToFit="false"/>
      <protection locked="true" hidden="false"/>
    </xf>
    <xf numFmtId="164" fontId="31" fillId="0" borderId="10" applyFont="true" applyBorder="true" applyAlignment="true" applyProtection="true">
      <alignment horizontal="right" vertical="bottom" textRotation="0" wrapText="false" indent="0" shrinkToFit="false"/>
      <protection locked="true" hidden="false"/>
    </xf>
    <xf numFmtId="165" fontId="25" fillId="26" borderId="11" applyFont="true" applyBorder="true" applyAlignment="true" applyProtection="true">
      <alignment horizontal="general" vertical="bottom" textRotation="0" wrapText="false" indent="0" shrinkToFit="false"/>
      <protection locked="true" hidden="false"/>
    </xf>
    <xf numFmtId="165" fontId="31" fillId="0" borderId="0" applyFont="true" applyBorder="true" applyAlignment="true" applyProtection="true">
      <alignment horizontal="right" vertical="bottom" textRotation="0" wrapText="false" indent="0" shrinkToFit="false"/>
      <protection locked="true" hidden="false"/>
    </xf>
    <xf numFmtId="164" fontId="32" fillId="0" borderId="0" applyFont="true" applyBorder="false" applyAlignment="false" applyProtection="false"/>
    <xf numFmtId="164" fontId="32" fillId="0" borderId="0" applyFont="true" applyBorder="false" applyAlignment="false" applyProtection="false"/>
    <xf numFmtId="164" fontId="31" fillId="0" borderId="10" applyFont="true" applyBorder="true" applyAlignment="true" applyProtection="true">
      <alignment horizontal="center" vertical="center" textRotation="0" wrapText="true" indent="0" shrinkToFit="false"/>
      <protection locked="true" hidden="false"/>
    </xf>
    <xf numFmtId="164" fontId="31" fillId="0" borderId="10" applyFont="true" applyBorder="true" applyAlignment="true" applyProtection="true">
      <alignment horizontal="left" vertical="center" textRotation="0" wrapText="false" indent="0" shrinkToFit="false"/>
      <protection locked="true" hidden="false"/>
    </xf>
    <xf numFmtId="164" fontId="31" fillId="0" borderId="0" applyFont="true" applyBorder="true" applyAlignment="true" applyProtection="true">
      <alignment horizontal="left" vertical="bottom" textRotation="0" wrapText="false" indent="0" shrinkToFit="false"/>
      <protection locked="true" hidden="false"/>
    </xf>
    <xf numFmtId="164" fontId="33" fillId="0" borderId="0" applyFont="true" applyBorder="false" applyAlignment="false" applyProtection="false"/>
    <xf numFmtId="164" fontId="34" fillId="0" borderId="0" applyFont="true" applyBorder="false" applyAlignment="false" applyProtection="false"/>
    <xf numFmtId="164" fontId="35" fillId="0" borderId="0" applyFont="true" applyBorder="true" applyAlignment="true" applyProtection="true">
      <alignment horizontal="left" vertical="bottom" textRotation="0" wrapText="false" indent="0" shrinkToFit="false"/>
      <protection locked="true" hidden="false"/>
    </xf>
    <xf numFmtId="164" fontId="11" fillId="0" borderId="0" applyFont="true" applyBorder="false" applyAlignment="true" applyProtection="false">
      <alignment horizontal="center" vertical="bottom" textRotation="90" wrapText="false" indent="0" shrinkToFit="false"/>
    </xf>
    <xf numFmtId="164" fontId="36" fillId="0" borderId="12" applyFont="true" applyBorder="true" applyAlignment="false" applyProtection="false"/>
    <xf numFmtId="164" fontId="37" fillId="0" borderId="12" applyFont="true" applyBorder="true" applyAlignment="false" applyProtection="false"/>
    <xf numFmtId="164" fontId="38" fillId="0" borderId="13" applyFont="true" applyBorder="true" applyAlignment="false" applyProtection="false"/>
    <xf numFmtId="164" fontId="39" fillId="0" borderId="14" applyFont="true" applyBorder="true" applyAlignment="false" applyProtection="false"/>
    <xf numFmtId="164" fontId="40" fillId="0" borderId="15" applyFont="true" applyBorder="true" applyAlignment="false" applyProtection="false"/>
    <xf numFmtId="164" fontId="41" fillId="0" borderId="16" applyFont="true" applyBorder="true" applyAlignment="false" applyProtection="false"/>
    <xf numFmtId="164" fontId="40" fillId="0" borderId="0" applyFont="true" applyBorder="false" applyAlignment="false" applyProtection="false"/>
    <xf numFmtId="164" fontId="41" fillId="0" borderId="0" applyFont="true" applyBorder="false" applyAlignment="false" applyProtection="false"/>
    <xf numFmtId="164" fontId="42" fillId="0" borderId="17" applyFont="true" applyBorder="true" applyAlignment="false" applyProtection="false"/>
    <xf numFmtId="164" fontId="42" fillId="0" borderId="17" applyFont="true" applyBorder="true" applyAlignment="false" applyProtection="false"/>
    <xf numFmtId="164" fontId="42" fillId="0" borderId="17" applyFont="true" applyBorder="true" applyAlignment="false" applyProtection="false"/>
    <xf numFmtId="165" fontId="31" fillId="0" borderId="10" applyFont="true" applyBorder="true" applyAlignment="true" applyProtection="true">
      <alignment horizontal="right" vertical="center" textRotation="0" wrapText="false" indent="0" shrinkToFit="false"/>
      <protection locked="true" hidden="false"/>
    </xf>
    <xf numFmtId="164" fontId="31" fillId="0" borderId="10" applyFont="true" applyBorder="true" applyAlignment="true" applyProtection="true">
      <alignment horizontal="left" vertical="center" textRotation="0" wrapText="false" indent="0" shrinkToFit="false"/>
      <protection locked="true" hidden="false"/>
    </xf>
    <xf numFmtId="165" fontId="43" fillId="25" borderId="18" applyFont="true" applyBorder="true" applyAlignment="true" applyProtection="true">
      <alignment horizontal="general" vertical="center" textRotation="0" wrapText="false" indent="0" shrinkToFit="false"/>
      <protection locked="true" hidden="false"/>
    </xf>
    <xf numFmtId="164" fontId="31" fillId="0" borderId="0" applyFont="true" applyBorder="true" applyAlignment="true" applyProtection="true">
      <alignment horizontal="right" vertical="bottom" textRotation="0" wrapText="false" indent="0" shrinkToFit="false"/>
      <protection locked="true" hidden="false"/>
    </xf>
    <xf numFmtId="165" fontId="0" fillId="0" borderId="0" applyFont="true" applyBorder="false" applyAlignment="false" applyProtection="false"/>
    <xf numFmtId="164" fontId="18" fillId="0" borderId="19" applyFont="true" applyBorder="true" applyAlignment="true" applyProtection="true">
      <alignment horizontal="general" vertical="bottom" textRotation="0" wrapText="false" indent="0" shrinkToFit="false"/>
      <protection locked="true" hidden="false"/>
    </xf>
    <xf numFmtId="165" fontId="17" fillId="0" borderId="11" applyFont="true" applyBorder="true" applyAlignment="true" applyProtection="true">
      <alignment horizontal="general" vertical="bottom" textRotation="0" wrapText="false" indent="0" shrinkToFit="false"/>
      <protection locked="true" hidden="false"/>
    </xf>
    <xf numFmtId="165" fontId="17" fillId="0" borderId="11" applyFont="true" applyBorder="true" applyAlignment="true" applyProtection="true">
      <alignment horizontal="general" vertical="bottom" textRotation="0" wrapText="false" indent="0" shrinkToFit="false"/>
      <protection locked="true" hidden="false"/>
    </xf>
    <xf numFmtId="164" fontId="44" fillId="24" borderId="20" applyFont="true" applyBorder="true" applyAlignment="false" applyProtection="false"/>
    <xf numFmtId="164" fontId="44" fillId="24" borderId="20" applyFont="true" applyBorder="true" applyAlignment="false" applyProtection="false"/>
  </cellStyleXfs>
  <cellXfs count="268">
    <xf numFmtId="164" fontId="0" fillId="0" borderId="0" xfId="0" applyFont="false" applyBorder="false" applyAlignment="false" applyProtection="false">
      <alignment horizontal="general" vertical="bottom" textRotation="0" wrapText="false" indent="0" shrinkToFit="false"/>
      <protection locked="true" hidden="false"/>
    </xf>
    <xf numFmtId="165" fontId="45" fillId="27" borderId="21" xfId="0" applyFont="true" applyBorder="true" applyAlignment="true" applyProtection="false">
      <alignment horizontal="center" vertical="center" textRotation="0" wrapText="true" indent="0" shrinkToFit="false"/>
      <protection locked="true" hidden="false"/>
    </xf>
    <xf numFmtId="164" fontId="45" fillId="27" borderId="22" xfId="0" applyFont="true" applyBorder="tru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4" fontId="43" fillId="5" borderId="23" xfId="0" applyFont="true" applyBorder="true" applyAlignment="true" applyProtection="false">
      <alignment horizontal="center" vertical="center" textRotation="0" wrapText="true" indent="0" shrinkToFit="false"/>
      <protection locked="true" hidden="false"/>
    </xf>
    <xf numFmtId="164" fontId="43" fillId="5" borderId="0" xfId="0" applyFont="true" applyBorder="true" applyAlignment="true" applyProtection="false">
      <alignment horizontal="center" vertical="center" textRotation="0" wrapText="true" indent="0" shrinkToFit="false"/>
      <protection locked="true" hidden="false"/>
    </xf>
    <xf numFmtId="164" fontId="43" fillId="5" borderId="24" xfId="0" applyFont="true" applyBorder="true" applyAlignment="true" applyProtection="false">
      <alignment horizontal="center" vertical="center" textRotation="0" wrapText="true" indent="0" shrinkToFit="false"/>
      <protection locked="true" hidden="false"/>
    </xf>
    <xf numFmtId="164" fontId="43" fillId="5" borderId="25" xfId="0" applyFont="true" applyBorder="true" applyAlignment="true" applyProtection="false">
      <alignment horizontal="left" vertical="bottom" textRotation="0" wrapText="false" indent="1" shrinkToFit="false"/>
      <protection locked="true" hidden="false"/>
    </xf>
    <xf numFmtId="165" fontId="43" fillId="5" borderId="22" xfId="0" applyFont="true" applyBorder="true" applyAlignment="true" applyProtection="false">
      <alignment horizontal="center" vertical="bottom" textRotation="0" wrapText="false" indent="0" shrinkToFit="false"/>
      <protection locked="true" hidden="false"/>
    </xf>
    <xf numFmtId="164" fontId="43" fillId="5" borderId="25" xfId="0" applyFont="true" applyBorder="true" applyAlignment="true" applyProtection="false">
      <alignment horizontal="center" vertical="center" textRotation="0" wrapText="false" indent="0" shrinkToFit="false"/>
      <protection locked="true" hidden="false"/>
    </xf>
    <xf numFmtId="164" fontId="43" fillId="5" borderId="26" xfId="0" applyFont="true" applyBorder="true" applyAlignment="true" applyProtection="false">
      <alignment horizontal="center" vertical="center" textRotation="0" wrapText="false" indent="0" shrinkToFit="false"/>
      <protection locked="true" hidden="false"/>
    </xf>
    <xf numFmtId="164" fontId="43" fillId="5" borderId="27" xfId="0" applyFont="true" applyBorder="true" applyAlignment="true" applyProtection="false">
      <alignment horizontal="center" vertical="center" textRotation="0" wrapText="false" indent="0" shrinkToFit="false"/>
      <protection locked="true" hidden="false"/>
    </xf>
    <xf numFmtId="164" fontId="0" fillId="0" borderId="23" xfId="0" applyFont="true" applyBorder="true" applyAlignment="true" applyProtection="false">
      <alignment horizontal="left" vertical="bottom" textRotation="0" wrapText="false" indent="2" shrinkToFit="false"/>
      <protection locked="true" hidden="false"/>
    </xf>
    <xf numFmtId="165" fontId="0" fillId="0" borderId="28" xfId="0" applyFont="false" applyBorder="true" applyAlignment="true" applyProtection="false">
      <alignment horizontal="center" vertical="bottom" textRotation="0" wrapText="false" indent="0" shrinkToFit="false"/>
      <protection locked="true" hidden="false"/>
    </xf>
    <xf numFmtId="164" fontId="0" fillId="0" borderId="2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24" xfId="0" applyFont="false" applyBorder="true" applyAlignment="true" applyProtection="false">
      <alignment horizontal="center" vertical="center" textRotation="0" wrapText="false" indent="0" shrinkToFit="false"/>
      <protection locked="true" hidden="false"/>
    </xf>
    <xf numFmtId="164" fontId="18" fillId="0" borderId="23" xfId="0" applyFont="true" applyBorder="true" applyAlignment="true" applyProtection="false">
      <alignment horizontal="left" vertical="bottom" textRotation="0" wrapText="false" indent="2" shrinkToFit="false"/>
      <protection locked="true" hidden="false"/>
    </xf>
    <xf numFmtId="164" fontId="0" fillId="0" borderId="29" xfId="0" applyFont="true" applyBorder="true" applyAlignment="true" applyProtection="false">
      <alignment horizontal="left" vertical="bottom" textRotation="0" wrapText="false" indent="2" shrinkToFit="false"/>
      <protection locked="true" hidden="false"/>
    </xf>
    <xf numFmtId="165" fontId="0" fillId="0" borderId="30" xfId="0" applyFont="fals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center" vertical="center" textRotation="0" wrapText="false" indent="0" shrinkToFit="false"/>
      <protection locked="true" hidden="false"/>
    </xf>
    <xf numFmtId="165" fontId="0" fillId="0" borderId="5" xfId="0" applyFont="false" applyBorder="true" applyAlignment="true" applyProtection="false">
      <alignment horizontal="center" vertical="center" textRotation="0" wrapText="false" indent="0" shrinkToFit="false"/>
      <protection locked="true" hidden="false"/>
    </xf>
    <xf numFmtId="164" fontId="0" fillId="0" borderId="31" xfId="0" applyFont="fals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4" fontId="43" fillId="12" borderId="25" xfId="0" applyFont="true" applyBorder="true" applyAlignment="true" applyProtection="false">
      <alignment horizontal="left" vertical="bottom" textRotation="0" wrapText="false" indent="1" shrinkToFit="false"/>
      <protection locked="true" hidden="false"/>
    </xf>
    <xf numFmtId="165" fontId="43" fillId="12" borderId="22" xfId="0" applyFont="true" applyBorder="true" applyAlignment="true" applyProtection="false">
      <alignment horizontal="center" vertical="bottom" textRotation="0" wrapText="false" indent="0" shrinkToFit="false"/>
      <protection locked="true" hidden="false"/>
    </xf>
    <xf numFmtId="165" fontId="43" fillId="12" borderId="23" xfId="0" applyFont="true" applyBorder="true" applyAlignment="true" applyProtection="false">
      <alignment horizontal="center" vertical="bottom" textRotation="0" wrapText="false" indent="0" shrinkToFit="false"/>
      <protection locked="true" hidden="false"/>
    </xf>
    <xf numFmtId="165" fontId="43" fillId="12" borderId="0" xfId="0" applyFont="true" applyBorder="true" applyAlignment="true" applyProtection="false">
      <alignment horizontal="center" vertical="bottom" textRotation="0" wrapText="false" indent="0" shrinkToFit="false"/>
      <protection locked="true" hidden="false"/>
    </xf>
    <xf numFmtId="165" fontId="43" fillId="12" borderId="24" xfId="0" applyFont="true" applyBorder="true" applyAlignment="true" applyProtection="false">
      <alignment horizontal="center" vertical="bottom" textRotation="0" wrapText="false" indent="0" shrinkToFit="false"/>
      <protection locked="true" hidden="false"/>
    </xf>
    <xf numFmtId="165" fontId="43" fillId="12" borderId="25" xfId="0" applyFont="true" applyBorder="true" applyAlignment="true" applyProtection="false">
      <alignment horizontal="center" vertical="bottom" textRotation="0" wrapText="false" indent="0" shrinkToFit="false"/>
      <protection locked="true" hidden="false"/>
    </xf>
    <xf numFmtId="165" fontId="43" fillId="12" borderId="26" xfId="0" applyFont="true" applyBorder="true" applyAlignment="true" applyProtection="false">
      <alignment horizontal="center" vertical="bottom" textRotation="0" wrapText="false" indent="0" shrinkToFit="false"/>
      <protection locked="true" hidden="false"/>
    </xf>
    <xf numFmtId="165" fontId="43" fillId="12" borderId="27" xfId="0" applyFont="true" applyBorder="true" applyAlignment="true" applyProtection="false">
      <alignment horizontal="center" vertical="bottom" textRotation="0" wrapText="false" indent="0" shrinkToFit="false"/>
      <protection locked="true" hidden="false"/>
    </xf>
    <xf numFmtId="164" fontId="0" fillId="12" borderId="29" xfId="0" applyFont="true" applyBorder="true" applyAlignment="true" applyProtection="false">
      <alignment horizontal="left" vertical="bottom" textRotation="0" wrapText="false" indent="2" shrinkToFit="false"/>
      <protection locked="true" hidden="false"/>
    </xf>
    <xf numFmtId="165" fontId="0" fillId="12" borderId="30" xfId="0" applyFont="false" applyBorder="true" applyAlignment="true" applyProtection="false">
      <alignment horizontal="center" vertical="bottom" textRotation="0" wrapText="false" indent="0" shrinkToFit="false"/>
      <protection locked="true" hidden="false"/>
    </xf>
    <xf numFmtId="165" fontId="0" fillId="12" borderId="29" xfId="0" applyFont="false" applyBorder="true" applyAlignment="true" applyProtection="false">
      <alignment horizontal="center" vertical="bottom" textRotation="0" wrapText="false" indent="0" shrinkToFit="false"/>
      <protection locked="true" hidden="false"/>
    </xf>
    <xf numFmtId="165" fontId="0" fillId="12" borderId="5" xfId="0" applyFont="false" applyBorder="true" applyAlignment="true" applyProtection="false">
      <alignment horizontal="center" vertical="bottom" textRotation="0" wrapText="false" indent="0" shrinkToFit="false"/>
      <protection locked="true" hidden="false"/>
    </xf>
    <xf numFmtId="165" fontId="0" fillId="12" borderId="31" xfId="0" applyFont="false" applyBorder="true" applyAlignment="true" applyProtection="false">
      <alignment horizontal="center" vertical="bottom" textRotation="0" wrapText="false" indent="0" shrinkToFit="false"/>
      <protection locked="true" hidden="false"/>
    </xf>
    <xf numFmtId="164" fontId="45" fillId="27" borderId="32" xfId="0" applyFont="true" applyBorder="true" applyAlignment="false" applyProtection="false">
      <alignment horizontal="general" vertical="bottom" textRotation="0" wrapText="false" indent="0" shrinkToFit="false"/>
      <protection locked="true" hidden="false"/>
    </xf>
    <xf numFmtId="165" fontId="45" fillId="27" borderId="21" xfId="0" applyFont="true" applyBorder="true" applyAlignment="true" applyProtection="false">
      <alignment horizontal="center" vertical="bottom" textRotation="0" wrapText="false" indent="0" shrinkToFit="false"/>
      <protection locked="true" hidden="false"/>
    </xf>
    <xf numFmtId="165" fontId="45" fillId="27" borderId="32" xfId="0" applyFont="true" applyBorder="true" applyAlignment="true" applyProtection="false">
      <alignment horizontal="center" vertical="bottom" textRotation="0" wrapText="false" indent="0" shrinkToFit="false"/>
      <protection locked="true" hidden="false"/>
    </xf>
    <xf numFmtId="165" fontId="45" fillId="27" borderId="33" xfId="0" applyFont="true" applyBorder="true" applyAlignment="true" applyProtection="false">
      <alignment horizontal="center" vertical="bottom" textRotation="0" wrapText="false" indent="0" shrinkToFit="false"/>
      <protection locked="true" hidden="false"/>
    </xf>
    <xf numFmtId="165" fontId="45" fillId="27" borderId="34" xfId="0" applyFont="true" applyBorder="tru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47" fillId="12" borderId="35" xfId="0" applyFont="true" applyBorder="true" applyAlignment="true" applyProtection="false">
      <alignment horizontal="center" vertical="center" textRotation="0" wrapText="true" indent="0" shrinkToFit="false"/>
      <protection locked="true" hidden="false"/>
    </xf>
    <xf numFmtId="164" fontId="43" fillId="12" borderId="35" xfId="0" applyFont="true" applyBorder="true" applyAlignment="true" applyProtection="false">
      <alignment horizontal="left" vertical="center" textRotation="0" wrapText="true" indent="0" shrinkToFit="false"/>
      <protection locked="true" hidden="false"/>
    </xf>
    <xf numFmtId="164" fontId="43" fillId="12" borderId="35" xfId="0" applyFont="true" applyBorder="true" applyAlignment="true" applyProtection="false">
      <alignment horizontal="center" vertical="center" textRotation="0" wrapText="true" indent="0" shrinkToFit="false"/>
      <protection locked="true" hidden="false"/>
    </xf>
    <xf numFmtId="164" fontId="47" fillId="12" borderId="0" xfId="0" applyFont="true" applyBorder="false" applyAlignment="true" applyProtection="false">
      <alignment horizontal="center" vertical="center" textRotation="0" wrapText="true" indent="0" shrinkToFit="false"/>
      <protection locked="true" hidden="false"/>
    </xf>
    <xf numFmtId="164" fontId="47" fillId="12" borderId="36" xfId="0" applyFont="true" applyBorder="true" applyAlignment="true" applyProtection="false">
      <alignment horizontal="center" vertical="center" textRotation="0" wrapText="true" indent="0" shrinkToFit="false"/>
      <protection locked="true" hidden="false"/>
    </xf>
    <xf numFmtId="164" fontId="43" fillId="0" borderId="35" xfId="0" applyFont="true" applyBorder="true" applyAlignment="true" applyProtection="false">
      <alignment horizontal="left" vertical="center" textRotation="0" wrapText="true" indent="0" shrinkToFit="false"/>
      <protection locked="true" hidden="false"/>
    </xf>
    <xf numFmtId="165" fontId="43" fillId="0" borderId="35" xfId="0" applyFont="true" applyBorder="true" applyAlignment="true" applyProtection="false">
      <alignment horizontal="center" vertical="center" textRotation="0" wrapText="true" indent="0" shrinkToFit="false"/>
      <protection locked="true" hidden="false"/>
    </xf>
    <xf numFmtId="165" fontId="47" fillId="0" borderId="35" xfId="0" applyFont="true" applyBorder="true" applyAlignment="true" applyProtection="false">
      <alignment horizontal="center" vertical="center" textRotation="0" wrapText="true" indent="0" shrinkToFit="false"/>
      <protection locked="true" hidden="false"/>
    </xf>
    <xf numFmtId="164" fontId="43"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6" fillId="12" borderId="35" xfId="0" applyFont="true" applyBorder="true" applyAlignment="true" applyProtection="false">
      <alignment horizontal="left" vertical="center" textRotation="0" wrapText="false" indent="0" shrinkToFit="false"/>
      <protection locked="true" hidden="false"/>
    </xf>
    <xf numFmtId="164" fontId="46" fillId="12" borderId="35" xfId="0" applyFont="true" applyBorder="true" applyAlignment="true" applyProtection="false">
      <alignment horizontal="center" vertical="center" textRotation="0" wrapText="true" indent="0" shrinkToFit="false"/>
      <protection locked="true" hidden="false"/>
    </xf>
    <xf numFmtId="164" fontId="18" fillId="0" borderId="35" xfId="0" applyFont="true" applyBorder="true" applyAlignment="true" applyProtection="false">
      <alignment horizontal="left" vertical="center" textRotation="0" wrapText="true" indent="0" shrinkToFit="false"/>
      <protection locked="true" hidden="false"/>
    </xf>
    <xf numFmtId="164" fontId="18" fillId="0" borderId="35" xfId="0" applyFont="true" applyBorder="true" applyAlignment="true" applyProtection="false">
      <alignment horizontal="center" vertical="center" textRotation="0" wrapText="true" indent="0" shrinkToFit="false"/>
      <protection locked="true" hidden="false"/>
    </xf>
    <xf numFmtId="164" fontId="46" fillId="0" borderId="35" xfId="0" applyFont="true" applyBorder="true" applyAlignment="true" applyProtection="false">
      <alignment horizontal="center" vertical="center" textRotation="0" wrapText="true" indent="0" shrinkToFit="false"/>
      <protection locked="true" hidden="false"/>
    </xf>
    <xf numFmtId="165" fontId="18" fillId="0" borderId="35" xfId="0" applyFont="true" applyBorder="true" applyAlignment="true" applyProtection="false">
      <alignment horizontal="center" vertical="center" textRotation="0" wrapText="true" indent="0" shrinkToFit="false"/>
      <protection locked="true" hidden="false"/>
    </xf>
    <xf numFmtId="165" fontId="46" fillId="0" borderId="35" xfId="0" applyFont="true" applyBorder="true" applyAlignment="true" applyProtection="false">
      <alignment horizontal="center" vertical="center" textRotation="0" wrapText="true" indent="0" shrinkToFit="false"/>
      <protection locked="true" hidden="false"/>
    </xf>
    <xf numFmtId="165" fontId="46" fillId="12" borderId="35" xfId="0" applyFont="true" applyBorder="true" applyAlignment="true" applyProtection="false">
      <alignment horizontal="center" vertical="center" textRotation="0" wrapText="true" indent="0" shrinkToFit="false"/>
      <protection locked="true" hidden="false"/>
    </xf>
    <xf numFmtId="164" fontId="18" fillId="0" borderId="35"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true" indent="0" shrinkToFit="false"/>
      <protection locked="true" hidden="false"/>
    </xf>
    <xf numFmtId="164" fontId="18" fillId="12" borderId="0" xfId="0" applyFont="true" applyBorder="false" applyAlignment="true" applyProtection="false">
      <alignment horizontal="center" vertical="bottom" textRotation="0" wrapText="tru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0" fillId="12" borderId="0" xfId="0" applyFont="false" applyBorder="false" applyAlignment="true" applyProtection="false">
      <alignment horizontal="center"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center" vertical="bottom" textRotation="0" wrapText="false" indent="0" shrinkToFit="false"/>
      <protection locked="true" hidden="false"/>
    </xf>
    <xf numFmtId="164" fontId="46" fillId="12" borderId="0" xfId="0" applyFont="true" applyBorder="false" applyAlignment="true" applyProtection="false">
      <alignment horizontal="center" vertical="bottom" textRotation="0" wrapText="false" indent="0" shrinkToFit="false"/>
      <protection locked="true" hidden="false"/>
    </xf>
    <xf numFmtId="164" fontId="43" fillId="5" borderId="0" xfId="149" applyFont="true" applyBorder="false" applyAlignment="false" applyProtection="false">
      <alignment horizontal="general" vertical="bottom" textRotation="0" wrapText="false" indent="0" shrinkToFit="false"/>
      <protection locked="true" hidden="false"/>
    </xf>
    <xf numFmtId="164" fontId="48" fillId="5" borderId="0" xfId="149" applyFont="true" applyBorder="false" applyAlignment="false" applyProtection="false">
      <alignment horizontal="general" vertical="bottom" textRotation="0" wrapText="false" indent="0" shrinkToFit="false"/>
      <protection locked="true" hidden="false"/>
    </xf>
    <xf numFmtId="164" fontId="18" fillId="0" borderId="0" xfId="153" applyFont="false" applyBorder="false" applyAlignment="false" applyProtection="false">
      <alignment horizontal="general" vertical="bottom" textRotation="0" wrapText="false" indent="0" shrinkToFit="false"/>
      <protection locked="true" hidden="false"/>
    </xf>
    <xf numFmtId="164" fontId="18" fillId="5" borderId="37" xfId="149" applyFont="true" applyBorder="true" applyAlignment="false" applyProtection="false">
      <alignment horizontal="general" vertical="bottom" textRotation="0" wrapText="false" indent="0" shrinkToFit="false"/>
      <protection locked="true" hidden="false"/>
    </xf>
    <xf numFmtId="164" fontId="18" fillId="5" borderId="38" xfId="149" applyFont="true" applyBorder="true" applyAlignment="false" applyProtection="false">
      <alignment horizontal="general" vertical="bottom" textRotation="0" wrapText="false" indent="0" shrinkToFit="false"/>
      <protection locked="true" hidden="false"/>
    </xf>
    <xf numFmtId="164" fontId="18" fillId="5" borderId="39" xfId="149" applyFont="true" applyBorder="true" applyAlignment="true" applyProtection="false">
      <alignment horizontal="center" vertical="center" textRotation="0" wrapText="true" indent="0" shrinkToFit="false"/>
      <protection locked="true" hidden="false"/>
    </xf>
    <xf numFmtId="164" fontId="43" fillId="5" borderId="40" xfId="149" applyFont="true" applyBorder="true" applyAlignment="false" applyProtection="false">
      <alignment horizontal="general" vertical="bottom" textRotation="0" wrapText="false" indent="0" shrinkToFit="false"/>
      <protection locked="true" hidden="false"/>
    </xf>
    <xf numFmtId="164" fontId="18" fillId="5" borderId="41" xfId="149" applyFont="true" applyBorder="true" applyAlignment="true" applyProtection="false">
      <alignment horizontal="left" vertical="bottom" textRotation="0" wrapText="true" indent="0" shrinkToFit="false"/>
      <protection locked="true" hidden="false"/>
    </xf>
    <xf numFmtId="165" fontId="18" fillId="5" borderId="39" xfId="149" applyFont="true" applyBorder="true" applyAlignment="true" applyProtection="false">
      <alignment horizontal="right" vertical="bottom" textRotation="0" wrapText="false" indent="1" shrinkToFit="false"/>
      <protection locked="true" hidden="false"/>
    </xf>
    <xf numFmtId="164" fontId="18" fillId="5" borderId="40" xfId="149" applyFont="true" applyBorder="true" applyAlignment="false" applyProtection="false">
      <alignment horizontal="general" vertical="bottom" textRotation="0" wrapText="false" indent="0" shrinkToFit="false"/>
      <protection locked="true" hidden="false"/>
    </xf>
    <xf numFmtId="165" fontId="18" fillId="5" borderId="41" xfId="149" applyFont="true" applyBorder="true" applyAlignment="true" applyProtection="false">
      <alignment horizontal="right" vertical="bottom" textRotation="0" wrapText="false" indent="1" shrinkToFit="false"/>
      <protection locked="true" hidden="false"/>
    </xf>
    <xf numFmtId="164" fontId="43" fillId="5" borderId="42" xfId="149" applyFont="true" applyBorder="true" applyAlignment="false" applyProtection="false">
      <alignment horizontal="general" vertical="bottom" textRotation="0" wrapText="false" indent="0" shrinkToFit="false"/>
      <protection locked="true" hidden="false"/>
    </xf>
    <xf numFmtId="164" fontId="43" fillId="5" borderId="43" xfId="149" applyFont="true" applyBorder="true" applyAlignment="true" applyProtection="false">
      <alignment horizontal="left" vertical="bottom" textRotation="0" wrapText="true" indent="0" shrinkToFit="false"/>
      <protection locked="true" hidden="false"/>
    </xf>
    <xf numFmtId="165" fontId="43" fillId="5" borderId="43" xfId="149" applyFont="true" applyBorder="true" applyAlignment="true" applyProtection="false">
      <alignment horizontal="right" vertical="bottom" textRotation="0" wrapText="false" indent="1" shrinkToFit="false"/>
      <protection locked="true" hidden="false"/>
    </xf>
    <xf numFmtId="164" fontId="43" fillId="5" borderId="37" xfId="149" applyFont="true" applyBorder="true" applyAlignment="false" applyProtection="false">
      <alignment horizontal="general" vertical="bottom" textRotation="0" wrapText="false" indent="0" shrinkToFit="false"/>
      <protection locked="true" hidden="false"/>
    </xf>
    <xf numFmtId="164" fontId="18" fillId="5" borderId="39" xfId="149" applyFont="true" applyBorder="true" applyAlignment="true" applyProtection="false">
      <alignment horizontal="left" vertical="bottom" textRotation="0" wrapText="true" indent="0" shrinkToFit="false"/>
      <protection locked="true" hidden="false"/>
    </xf>
    <xf numFmtId="165" fontId="43" fillId="5" borderId="41" xfId="149" applyFont="true" applyBorder="true" applyAlignment="true" applyProtection="false">
      <alignment horizontal="right" vertical="bottom" textRotation="0" wrapText="false" indent="1" shrinkToFit="false"/>
      <protection locked="true" hidden="false"/>
    </xf>
    <xf numFmtId="164" fontId="43" fillId="5" borderId="41" xfId="149" applyFont="true" applyBorder="true" applyAlignment="true" applyProtection="false">
      <alignment horizontal="left" vertical="bottom" textRotation="0" wrapText="true" indent="0" shrinkToFit="false"/>
      <protection locked="true" hidden="false"/>
    </xf>
    <xf numFmtId="164" fontId="51" fillId="5" borderId="0" xfId="149" applyFont="true" applyBorder="false" applyAlignment="false" applyProtection="false">
      <alignment horizontal="general" vertical="bottom" textRotation="0" wrapText="false" indent="0" shrinkToFit="false"/>
      <protection locked="true" hidden="false"/>
    </xf>
    <xf numFmtId="164" fontId="52" fillId="5" borderId="0" xfId="146" applyFont="true" applyBorder="false" applyAlignment="true" applyProtection="false">
      <alignment horizontal="general" vertical="top" textRotation="0" wrapText="false" indent="0" shrinkToFit="false"/>
      <protection locked="true" hidden="false"/>
    </xf>
    <xf numFmtId="164" fontId="52" fillId="0" borderId="0" xfId="143" applyFont="true" applyBorder="false" applyAlignment="false" applyProtection="false">
      <alignment horizontal="general" vertical="bottom" textRotation="0" wrapText="false" indent="0" shrinkToFit="false"/>
      <protection locked="true" hidden="false"/>
    </xf>
    <xf numFmtId="164" fontId="48" fillId="5" borderId="44" xfId="146" applyFont="true" applyBorder="true" applyAlignment="true" applyProtection="false">
      <alignment horizontal="general" vertical="top" textRotation="0" wrapText="true" indent="0" shrinkToFit="false"/>
      <protection locked="true" hidden="false"/>
    </xf>
    <xf numFmtId="164" fontId="52" fillId="5" borderId="44" xfId="146" applyFont="true" applyBorder="true" applyAlignment="true" applyProtection="false">
      <alignment horizontal="right" vertical="top" textRotation="0" wrapText="true" indent="0" shrinkToFit="false"/>
      <protection locked="true" hidden="false"/>
    </xf>
    <xf numFmtId="164" fontId="48" fillId="0" borderId="0" xfId="143" applyFont="true" applyBorder="false" applyAlignment="false" applyProtection="false">
      <alignment horizontal="general" vertical="bottom" textRotation="0" wrapText="false" indent="0" shrinkToFit="false"/>
      <protection locked="true" hidden="false"/>
    </xf>
    <xf numFmtId="164" fontId="52" fillId="0" borderId="39" xfId="143" applyFont="true" applyBorder="true" applyAlignment="true" applyProtection="false">
      <alignment horizontal="right" vertical="top" textRotation="0" wrapText="true" indent="0" shrinkToFit="false"/>
      <protection locked="true" hidden="false"/>
    </xf>
    <xf numFmtId="164" fontId="52" fillId="5" borderId="44" xfId="146" applyFont="true" applyBorder="true" applyAlignment="true" applyProtection="false">
      <alignment horizontal="general" vertical="top" textRotation="0" wrapText="true" indent="0" shrinkToFit="false"/>
      <protection locked="true" hidden="false"/>
    </xf>
    <xf numFmtId="165" fontId="52" fillId="5" borderId="44" xfId="146" applyFont="true" applyBorder="true" applyAlignment="true" applyProtection="false">
      <alignment horizontal="general" vertical="top" textRotation="0" wrapText="true" indent="0" shrinkToFit="false"/>
      <protection locked="true" hidden="false"/>
    </xf>
    <xf numFmtId="164" fontId="52" fillId="0" borderId="44" xfId="143" applyFont="true" applyBorder="true" applyAlignment="true" applyProtection="false">
      <alignment horizontal="left" vertical="top" textRotation="0" wrapText="true" indent="0" shrinkToFit="false"/>
      <protection locked="true" hidden="false"/>
    </xf>
    <xf numFmtId="164" fontId="52" fillId="0" borderId="45" xfId="143" applyFont="true" applyBorder="true" applyAlignment="true" applyProtection="false">
      <alignment horizontal="left" vertical="top" textRotation="0" wrapText="true" indent="0" shrinkToFit="false"/>
      <protection locked="true" hidden="false"/>
    </xf>
    <xf numFmtId="165" fontId="52" fillId="0" borderId="44" xfId="143" applyFont="true" applyBorder="true" applyAlignment="true" applyProtection="false">
      <alignment horizontal="right" vertical="bottom" textRotation="0" wrapText="true" indent="0" shrinkToFit="false"/>
      <protection locked="true" hidden="false"/>
    </xf>
    <xf numFmtId="164" fontId="48" fillId="5" borderId="44" xfId="146" applyFont="true" applyBorder="true" applyAlignment="true" applyProtection="false">
      <alignment horizontal="right" vertical="top" textRotation="0" wrapText="true" indent="0" shrinkToFit="false"/>
      <protection locked="true" hidden="false"/>
    </xf>
    <xf numFmtId="165" fontId="48" fillId="5" borderId="44" xfId="146" applyFont="true" applyBorder="true" applyAlignment="true" applyProtection="false">
      <alignment horizontal="general" vertical="top" textRotation="0" wrapText="true" indent="0" shrinkToFit="false"/>
      <protection locked="true" hidden="false"/>
    </xf>
    <xf numFmtId="164" fontId="48" fillId="0" borderId="37" xfId="143" applyFont="true" applyBorder="true" applyAlignment="true" applyProtection="false">
      <alignment horizontal="left" vertical="top" textRotation="0" wrapText="true" indent="0" shrinkToFit="false"/>
      <protection locked="true" hidden="false"/>
    </xf>
    <xf numFmtId="165" fontId="48" fillId="0" borderId="39" xfId="143" applyFont="true" applyBorder="true" applyAlignment="true" applyProtection="false">
      <alignment horizontal="right" vertical="bottom" textRotation="0" wrapText="true" indent="0" shrinkToFit="false"/>
      <protection locked="true" hidden="false"/>
    </xf>
    <xf numFmtId="165" fontId="43" fillId="5" borderId="44" xfId="146" applyFont="true" applyBorder="true" applyAlignment="true" applyProtection="false">
      <alignment horizontal="general" vertical="top" textRotation="0" wrapText="true" indent="0" shrinkToFit="false"/>
      <protection locked="true" hidden="false"/>
    </xf>
    <xf numFmtId="164" fontId="48" fillId="0" borderId="40" xfId="143" applyFont="true" applyBorder="true" applyAlignment="true" applyProtection="false">
      <alignment horizontal="left" vertical="top" textRotation="0" wrapText="true" indent="0" shrinkToFit="false"/>
      <protection locked="true" hidden="false"/>
    </xf>
    <xf numFmtId="165" fontId="48" fillId="0" borderId="41" xfId="143" applyFont="true" applyBorder="true" applyAlignment="true" applyProtection="false">
      <alignment horizontal="right" vertical="bottom" textRotation="0" wrapText="true" indent="0" shrinkToFit="false"/>
      <protection locked="true" hidden="false"/>
    </xf>
    <xf numFmtId="164" fontId="48" fillId="3" borderId="44" xfId="146" applyFont="true" applyBorder="true" applyAlignment="true" applyProtection="false">
      <alignment horizontal="right" vertical="top" textRotation="0" wrapText="true" indent="0" shrinkToFit="false"/>
      <protection locked="true" hidden="false"/>
    </xf>
    <xf numFmtId="165" fontId="48" fillId="3" borderId="44" xfId="146" applyFont="true" applyBorder="true" applyAlignment="true" applyProtection="false">
      <alignment horizontal="general" vertical="top" textRotation="0" wrapText="true" indent="0" shrinkToFit="false"/>
      <protection locked="true" hidden="false"/>
    </xf>
    <xf numFmtId="164" fontId="18" fillId="3" borderId="40" xfId="143" applyFont="true" applyBorder="true" applyAlignment="true" applyProtection="false">
      <alignment horizontal="left" vertical="top" textRotation="0" wrapText="true" indent="0" shrinkToFit="false"/>
      <protection locked="true" hidden="false"/>
    </xf>
    <xf numFmtId="165" fontId="18" fillId="3" borderId="41" xfId="143" applyFont="true" applyBorder="true" applyAlignment="true" applyProtection="false">
      <alignment horizontal="right" vertical="bottom" textRotation="0" wrapText="true" indent="0" shrinkToFit="false"/>
      <protection locked="true" hidden="false"/>
    </xf>
    <xf numFmtId="169" fontId="48" fillId="5" borderId="44" xfId="131" applyFont="true" applyBorder="true" applyAlignment="true" applyProtection="true">
      <alignment horizontal="right" vertical="top" textRotation="0" wrapText="true" indent="0" shrinkToFit="false"/>
      <protection locked="true" hidden="false"/>
    </xf>
    <xf numFmtId="164" fontId="51" fillId="5" borderId="0" xfId="146" applyFont="true" applyBorder="false" applyAlignment="true" applyProtection="false">
      <alignment horizontal="general" vertical="center" textRotation="0" wrapText="false" indent="0" shrinkToFit="false"/>
      <protection locked="true" hidden="false"/>
    </xf>
    <xf numFmtId="164" fontId="48" fillId="0" borderId="42" xfId="143" applyFont="true" applyBorder="true" applyAlignment="true" applyProtection="false">
      <alignment horizontal="left" vertical="top" textRotation="0" wrapText="true" indent="0" shrinkToFit="false"/>
      <protection locked="true" hidden="false"/>
    </xf>
    <xf numFmtId="165" fontId="48" fillId="0" borderId="43" xfId="143" applyFont="true" applyBorder="true" applyAlignment="true" applyProtection="false">
      <alignment horizontal="right" vertical="bottom" textRotation="0" wrapText="true" indent="0" shrinkToFit="false"/>
      <protection locked="true" hidden="false"/>
    </xf>
    <xf numFmtId="164" fontId="17" fillId="5" borderId="0" xfId="160" applyFont="true" applyBorder="false" applyAlignment="true" applyProtection="false">
      <alignment horizontal="general" vertical="center" textRotation="0" wrapText="false" indent="0" shrinkToFit="false"/>
      <protection locked="true" hidden="false"/>
    </xf>
    <xf numFmtId="164" fontId="52" fillId="0" borderId="39" xfId="143" applyFont="true" applyBorder="true" applyAlignment="true" applyProtection="false">
      <alignment horizontal="left" vertical="top" textRotation="0" wrapText="true" indent="0" shrinkToFit="false"/>
      <protection locked="true" hidden="false"/>
    </xf>
    <xf numFmtId="164" fontId="52" fillId="0" borderId="41" xfId="143" applyFont="true" applyBorder="true" applyAlignment="true" applyProtection="false">
      <alignment horizontal="left" vertical="top" textRotation="0" wrapText="true" indent="0" shrinkToFit="false"/>
      <protection locked="true" hidden="false"/>
    </xf>
    <xf numFmtId="164" fontId="17" fillId="5" borderId="0" xfId="160" applyFont="true" applyBorder="false" applyAlignment="true" applyProtection="false">
      <alignment horizontal="left" vertical="center" textRotation="0" wrapText="false" indent="0" shrinkToFit="false"/>
      <protection locked="true" hidden="false"/>
    </xf>
    <xf numFmtId="164" fontId="51" fillId="5" borderId="0" xfId="146" applyFont="true" applyBorder="false" applyAlignment="true" applyProtection="false">
      <alignment horizontal="left" vertical="center" textRotation="0" wrapText="false" indent="0" shrinkToFit="false"/>
      <protection locked="true" hidden="false"/>
    </xf>
    <xf numFmtId="164" fontId="52" fillId="0" borderId="43" xfId="143" applyFont="true" applyBorder="true" applyAlignment="true" applyProtection="false">
      <alignment horizontal="left" vertical="top" textRotation="0" wrapText="true" indent="0" shrinkToFit="false"/>
      <protection locked="true" hidden="false"/>
    </xf>
    <xf numFmtId="164" fontId="52" fillId="0" borderId="0" xfId="149" applyFont="true" applyBorder="false" applyAlignment="false" applyProtection="false">
      <alignment horizontal="general" vertical="bottom" textRotation="0" wrapText="false" indent="0" shrinkToFit="false"/>
      <protection locked="true" hidden="false"/>
    </xf>
    <xf numFmtId="164" fontId="52" fillId="5" borderId="44" xfId="143" applyFont="true" applyBorder="true" applyAlignment="true" applyProtection="false">
      <alignment horizontal="right" vertical="top" textRotation="0" wrapText="true" indent="0" shrinkToFit="false"/>
      <protection locked="true" hidden="false"/>
    </xf>
    <xf numFmtId="164" fontId="52" fillId="5" borderId="44" xfId="149" applyFont="true" applyBorder="true" applyAlignment="true" applyProtection="false">
      <alignment horizontal="left" vertical="top" textRotation="0" wrapText="true" indent="0" shrinkToFit="false"/>
      <protection locked="true" hidden="false"/>
    </xf>
    <xf numFmtId="164" fontId="48" fillId="5" borderId="39" xfId="149" applyFont="true" applyBorder="true" applyAlignment="true" applyProtection="false">
      <alignment horizontal="left" vertical="top" textRotation="0" wrapText="true" indent="0" shrinkToFit="false"/>
      <protection locked="true" hidden="false"/>
    </xf>
    <xf numFmtId="173" fontId="48" fillId="5" borderId="41" xfId="149" applyFont="true" applyBorder="true" applyAlignment="true" applyProtection="false">
      <alignment horizontal="right" vertical="bottom" textRotation="0" wrapText="true" indent="0" shrinkToFit="false"/>
      <protection locked="true" hidden="false"/>
    </xf>
    <xf numFmtId="164" fontId="52" fillId="5" borderId="42" xfId="149" applyFont="true" applyBorder="true" applyAlignment="true" applyProtection="false">
      <alignment horizontal="left" vertical="top" textRotation="0" wrapText="true" indent="0" shrinkToFit="false"/>
      <protection locked="true" hidden="false"/>
    </xf>
    <xf numFmtId="164" fontId="48" fillId="5" borderId="41" xfId="149" applyFont="true" applyBorder="true" applyAlignment="true" applyProtection="false">
      <alignment horizontal="left" vertical="top" textRotation="0" wrapText="true" indent="0" shrinkToFit="false"/>
      <protection locked="true" hidden="false"/>
    </xf>
    <xf numFmtId="173" fontId="48" fillId="5" borderId="39" xfId="149" applyFont="true" applyBorder="true" applyAlignment="true" applyProtection="false">
      <alignment horizontal="right" vertical="bottom" textRotation="0" wrapText="true" indent="0" shrinkToFit="false"/>
      <protection locked="true" hidden="false"/>
    </xf>
    <xf numFmtId="173" fontId="18" fillId="5" borderId="41" xfId="149" applyFont="true" applyBorder="true" applyAlignment="true" applyProtection="false">
      <alignment horizontal="right" vertical="bottom" textRotation="0" wrapText="true" indent="0" shrinkToFit="false"/>
      <protection locked="true" hidden="false"/>
    </xf>
    <xf numFmtId="173" fontId="18" fillId="0" borderId="41" xfId="149" applyFont="true" applyBorder="true" applyAlignment="true" applyProtection="false">
      <alignment horizontal="right" vertical="bottom" textRotation="0" wrapText="true" indent="0" shrinkToFit="false"/>
      <protection locked="true" hidden="false"/>
    </xf>
    <xf numFmtId="164" fontId="52" fillId="5" borderId="43" xfId="149" applyFont="true" applyBorder="true" applyAlignment="true" applyProtection="false">
      <alignment horizontal="left" vertical="top" textRotation="0" wrapText="true" indent="0" shrinkToFit="false"/>
      <protection locked="true" hidden="false"/>
    </xf>
    <xf numFmtId="173" fontId="52" fillId="5" borderId="43" xfId="149" applyFont="true" applyBorder="true" applyAlignment="true" applyProtection="false">
      <alignment horizontal="right" vertical="bottom" textRotation="0" wrapText="true" indent="0" shrinkToFit="false"/>
      <protection locked="true" hidden="false"/>
    </xf>
    <xf numFmtId="164" fontId="51" fillId="5" borderId="0" xfId="149" applyFont="true" applyBorder="false" applyAlignment="true" applyProtection="false">
      <alignment horizontal="left" vertical="bottom" textRotation="0" wrapText="false" indent="0" shrinkToFit="false"/>
      <protection locked="true" hidden="false"/>
    </xf>
    <xf numFmtId="164" fontId="52" fillId="5" borderId="0" xfId="149" applyFont="true" applyBorder="false" applyAlignment="false" applyProtection="false">
      <alignment horizontal="general" vertical="bottom" textRotation="0" wrapText="false" indent="0" shrinkToFit="false"/>
      <protection locked="true" hidden="false"/>
    </xf>
    <xf numFmtId="164" fontId="18" fillId="5" borderId="0" xfId="149" applyFont="true" applyBorder="false" applyAlignment="false" applyProtection="false">
      <alignment horizontal="general" vertical="bottom" textRotation="0" wrapText="false" indent="0" shrinkToFit="false"/>
      <protection locked="true" hidden="false"/>
    </xf>
    <xf numFmtId="164" fontId="55" fillId="5" borderId="37" xfId="149" applyFont="true" applyBorder="true" applyAlignment="true" applyProtection="false">
      <alignment horizontal="center" vertical="bottom" textRotation="0" wrapText="true" indent="0" shrinkToFit="false"/>
      <protection locked="true" hidden="false"/>
    </xf>
    <xf numFmtId="164" fontId="43" fillId="5" borderId="44" xfId="149" applyFont="true" applyBorder="true" applyAlignment="true" applyProtection="false">
      <alignment horizontal="center" vertical="bottom" textRotation="0" wrapText="true" indent="0" shrinkToFit="false"/>
      <protection locked="true" hidden="false"/>
    </xf>
    <xf numFmtId="164" fontId="18" fillId="5" borderId="45" xfId="149" applyFont="true" applyBorder="true" applyAlignment="true" applyProtection="false">
      <alignment horizontal="center" vertical="center" textRotation="0" wrapText="true" indent="0" shrinkToFit="false"/>
      <protection locked="true" hidden="false"/>
    </xf>
    <xf numFmtId="164" fontId="43" fillId="5" borderId="44" xfId="149" applyFont="true" applyBorder="true" applyAlignment="true" applyProtection="false">
      <alignment horizontal="center" vertical="center" textRotation="0" wrapText="true" indent="0" shrinkToFit="false"/>
      <protection locked="true" hidden="false"/>
    </xf>
    <xf numFmtId="174" fontId="18" fillId="5" borderId="37" xfId="149" applyFont="true" applyBorder="true" applyAlignment="true" applyProtection="false">
      <alignment horizontal="right" vertical="center" textRotation="0" wrapText="true" indent="1" shrinkToFit="false"/>
      <protection locked="true" hidden="false"/>
    </xf>
    <xf numFmtId="174" fontId="43" fillId="5" borderId="39" xfId="149" applyFont="true" applyBorder="true" applyAlignment="true" applyProtection="false">
      <alignment horizontal="right" vertical="center" textRotation="0" wrapText="true" indent="1" shrinkToFit="false"/>
      <protection locked="true" hidden="false"/>
    </xf>
    <xf numFmtId="174" fontId="18" fillId="5" borderId="40" xfId="149" applyFont="true" applyBorder="true" applyAlignment="true" applyProtection="false">
      <alignment horizontal="right" vertical="center" textRotation="0" wrapText="true" indent="1" shrinkToFit="false"/>
      <protection locked="true" hidden="false"/>
    </xf>
    <xf numFmtId="174" fontId="43" fillId="5" borderId="41" xfId="149" applyFont="true" applyBorder="true" applyAlignment="true" applyProtection="false">
      <alignment horizontal="right" vertical="center" textRotation="0" wrapText="true" indent="1" shrinkToFit="false"/>
      <protection locked="true" hidden="false"/>
    </xf>
    <xf numFmtId="164" fontId="46" fillId="5" borderId="41" xfId="149" applyFont="true" applyBorder="true" applyAlignment="true" applyProtection="false">
      <alignment horizontal="left" vertical="bottom" textRotation="0" wrapText="true" indent="1" shrinkToFit="false"/>
      <protection locked="true" hidden="false"/>
    </xf>
    <xf numFmtId="174" fontId="46" fillId="5" borderId="40" xfId="149" applyFont="true" applyBorder="true" applyAlignment="true" applyProtection="false">
      <alignment horizontal="right" vertical="center" textRotation="0" wrapText="true" indent="1" shrinkToFit="false"/>
      <protection locked="true" hidden="false"/>
    </xf>
    <xf numFmtId="174" fontId="47" fillId="5" borderId="41" xfId="149" applyFont="true" applyBorder="true" applyAlignment="true" applyProtection="false">
      <alignment horizontal="right" vertical="center" textRotation="0" wrapText="true" indent="1" shrinkToFit="false"/>
      <protection locked="true" hidden="false"/>
    </xf>
    <xf numFmtId="164" fontId="18" fillId="5" borderId="43" xfId="149" applyFont="true" applyBorder="true" applyAlignment="true" applyProtection="false">
      <alignment horizontal="left" vertical="bottom" textRotation="0" wrapText="true" indent="0" shrinkToFit="false"/>
      <protection locked="true" hidden="false"/>
    </xf>
    <xf numFmtId="174" fontId="18" fillId="5" borderId="42" xfId="149" applyFont="true" applyBorder="true" applyAlignment="true" applyProtection="false">
      <alignment horizontal="right" vertical="center" textRotation="0" wrapText="true" indent="1" shrinkToFit="false"/>
      <protection locked="true" hidden="false"/>
    </xf>
    <xf numFmtId="174" fontId="43" fillId="5" borderId="43" xfId="149" applyFont="true" applyBorder="true" applyAlignment="true" applyProtection="false">
      <alignment horizontal="right" vertical="center" textRotation="0" wrapText="true" indent="1" shrinkToFit="false"/>
      <protection locked="true" hidden="false"/>
    </xf>
    <xf numFmtId="164" fontId="43" fillId="5" borderId="40" xfId="149" applyFont="true" applyBorder="true" applyAlignment="true" applyProtection="false">
      <alignment horizontal="left" vertical="center" textRotation="0" wrapText="true" indent="0" shrinkToFit="false"/>
      <protection locked="true" hidden="false"/>
    </xf>
    <xf numFmtId="174" fontId="43" fillId="5" borderId="37" xfId="133" applyFont="true" applyBorder="true" applyAlignment="true" applyProtection="true">
      <alignment horizontal="right" vertical="center" textRotation="0" wrapText="false" indent="1" shrinkToFit="false"/>
      <protection locked="true" hidden="false"/>
    </xf>
    <xf numFmtId="174" fontId="43" fillId="5" borderId="39" xfId="133" applyFont="true" applyBorder="true" applyAlignment="true" applyProtection="true">
      <alignment horizontal="right" vertical="center" textRotation="0" wrapText="false" indent="1" shrinkToFit="false"/>
      <protection locked="true" hidden="false"/>
    </xf>
    <xf numFmtId="164" fontId="43" fillId="5" borderId="44" xfId="0" applyFont="true" applyBorder="true" applyAlignment="true" applyProtection="false">
      <alignment horizontal="left" vertical="bottom" textRotation="0" wrapText="true" indent="0" shrinkToFit="false"/>
      <protection locked="true" hidden="false"/>
    </xf>
    <xf numFmtId="174" fontId="43" fillId="5" borderId="45" xfId="133" applyFont="true" applyBorder="true" applyAlignment="true" applyProtection="true">
      <alignment horizontal="right" vertical="center" textRotation="0" wrapText="false" indent="1" shrinkToFit="false"/>
      <protection locked="true" hidden="false"/>
    </xf>
    <xf numFmtId="174" fontId="43" fillId="5" borderId="44" xfId="133" applyFont="true" applyBorder="true" applyAlignment="true" applyProtection="true">
      <alignment horizontal="right" vertical="center" textRotation="0" wrapText="false" indent="1" shrinkToFit="false"/>
      <protection locked="true" hidden="false"/>
    </xf>
    <xf numFmtId="164" fontId="43" fillId="5" borderId="0" xfId="153" applyFont="true" applyBorder="false" applyAlignment="false" applyProtection="false">
      <alignment horizontal="general" vertical="bottom" textRotation="0" wrapText="false" indent="0" shrinkToFit="false"/>
      <protection locked="true" hidden="false"/>
    </xf>
    <xf numFmtId="164" fontId="18" fillId="5" borderId="0" xfId="153" applyFont="false" applyBorder="false" applyAlignment="false" applyProtection="false">
      <alignment horizontal="general" vertical="bottom" textRotation="0" wrapText="false" indent="0" shrinkToFit="false"/>
      <protection locked="true" hidden="false"/>
    </xf>
    <xf numFmtId="164" fontId="18" fillId="5" borderId="37" xfId="153" applyFont="false" applyBorder="true" applyAlignment="false" applyProtection="false">
      <alignment horizontal="general" vertical="bottom" textRotation="0" wrapText="false" indent="0" shrinkToFit="false"/>
      <protection locked="true" hidden="false"/>
    </xf>
    <xf numFmtId="164" fontId="43" fillId="5" borderId="45" xfId="153" applyFont="true" applyBorder="true" applyAlignment="true" applyProtection="false">
      <alignment horizontal="center" vertical="bottom" textRotation="0" wrapText="false" indent="0" shrinkToFit="false"/>
      <protection locked="true" hidden="false"/>
    </xf>
    <xf numFmtId="164" fontId="43" fillId="5" borderId="46" xfId="153" applyFont="true" applyBorder="true" applyAlignment="true" applyProtection="false">
      <alignment horizontal="center" vertical="bottom" textRotation="0" wrapText="false" indent="0" shrinkToFit="false"/>
      <protection locked="true" hidden="false"/>
    </xf>
    <xf numFmtId="164" fontId="18" fillId="5" borderId="42" xfId="153" applyFont="false" applyBorder="true" applyAlignment="false" applyProtection="false">
      <alignment horizontal="general" vertical="bottom" textRotation="0" wrapText="false" indent="0" shrinkToFit="false"/>
      <protection locked="true" hidden="false"/>
    </xf>
    <xf numFmtId="164" fontId="18" fillId="5" borderId="42" xfId="153" applyFont="true" applyBorder="true" applyAlignment="true" applyProtection="false">
      <alignment horizontal="center" vertical="center" textRotation="0" wrapText="true" indent="0" shrinkToFit="false"/>
      <protection locked="true" hidden="false"/>
    </xf>
    <xf numFmtId="164" fontId="18" fillId="5" borderId="47" xfId="153" applyFont="true" applyBorder="true" applyAlignment="true" applyProtection="false">
      <alignment horizontal="center" vertical="center" textRotation="0" wrapText="true" indent="0" shrinkToFit="false"/>
      <protection locked="true" hidden="false"/>
    </xf>
    <xf numFmtId="164" fontId="18" fillId="0" borderId="48" xfId="153" applyFont="true" applyBorder="true" applyAlignment="true" applyProtection="false">
      <alignment horizontal="center" vertical="center" textRotation="0" wrapText="true" indent="0" shrinkToFit="false"/>
      <protection locked="true" hidden="false"/>
    </xf>
    <xf numFmtId="164" fontId="43" fillId="5" borderId="47" xfId="153" applyFont="true" applyBorder="true" applyAlignment="true" applyProtection="false">
      <alignment horizontal="center" vertical="center" textRotation="0" wrapText="true" indent="0" shrinkToFit="false"/>
      <protection locked="true" hidden="false"/>
    </xf>
    <xf numFmtId="164" fontId="18" fillId="5" borderId="43" xfId="153" applyFont="true" applyBorder="true" applyAlignment="true" applyProtection="false">
      <alignment horizontal="center" vertical="center" textRotation="0" wrapText="true" indent="0" shrinkToFit="false"/>
      <protection locked="true" hidden="false"/>
    </xf>
    <xf numFmtId="165" fontId="18" fillId="5" borderId="48" xfId="153" applyFont="true" applyBorder="true" applyAlignment="true" applyProtection="false">
      <alignment horizontal="right" vertical="bottom" textRotation="0" wrapText="false" indent="1" shrinkToFit="false"/>
      <protection locked="true" hidden="false"/>
    </xf>
    <xf numFmtId="165" fontId="18" fillId="0" borderId="48" xfId="153" applyFont="true" applyBorder="true" applyAlignment="true" applyProtection="false">
      <alignment horizontal="right" vertical="bottom" textRotation="0" wrapText="false" indent="1" shrinkToFit="false"/>
      <protection locked="true" hidden="false"/>
    </xf>
    <xf numFmtId="165" fontId="43" fillId="5" borderId="47" xfId="153" applyFont="true" applyBorder="true" applyAlignment="true" applyProtection="false">
      <alignment horizontal="right" vertical="bottom" textRotation="0" wrapText="false" indent="1" shrinkToFit="false"/>
      <protection locked="true" hidden="false"/>
    </xf>
    <xf numFmtId="164" fontId="18" fillId="0" borderId="43" xfId="153" applyFont="true" applyBorder="true" applyAlignment="true" applyProtection="false">
      <alignment horizontal="center" vertical="center" textRotation="0" wrapText="true" indent="0" shrinkToFit="false"/>
      <protection locked="true" hidden="false"/>
    </xf>
    <xf numFmtId="165" fontId="43" fillId="5" borderId="48" xfId="153" applyFont="true" applyBorder="true" applyAlignment="true" applyProtection="false">
      <alignment horizontal="right" vertical="bottom" textRotation="0" wrapText="false" indent="1" shrinkToFit="false"/>
      <protection locked="true" hidden="false"/>
    </xf>
    <xf numFmtId="165" fontId="43" fillId="0" borderId="48" xfId="153" applyFont="true" applyBorder="true" applyAlignment="true" applyProtection="false">
      <alignment horizontal="right" vertical="bottom" textRotation="0" wrapText="false" indent="1"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5" fontId="46" fillId="0" borderId="0" xfId="0" applyFont="true" applyBorder="false" applyAlignment="false" applyProtection="false">
      <alignment horizontal="general" vertical="bottom" textRotation="0" wrapText="false" indent="0" shrinkToFit="false"/>
      <protection locked="true" hidden="false"/>
    </xf>
    <xf numFmtId="175" fontId="46" fillId="5" borderId="0" xfId="0" applyFont="true" applyBorder="false" applyAlignment="false" applyProtection="false">
      <alignment horizontal="general" vertical="bottom" textRotation="0" wrapText="false" indent="0" shrinkToFit="false"/>
      <protection locked="true" hidden="false"/>
    </xf>
    <xf numFmtId="175" fontId="18" fillId="0" borderId="0" xfId="0" applyFont="true" applyBorder="false" applyAlignment="false" applyProtection="false">
      <alignment horizontal="general" vertical="bottom" textRotation="0" wrapText="false" indent="0" shrinkToFit="false"/>
      <protection locked="true" hidden="false"/>
    </xf>
    <xf numFmtId="176" fontId="18"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75" fontId="18" fillId="5" borderId="0" xfId="0" applyFont="true" applyBorder="false" applyAlignment="false" applyProtection="false">
      <alignment horizontal="general" vertical="bottom" textRotation="0" wrapText="false" indent="0" shrinkToFit="false"/>
      <protection locked="true" hidden="false"/>
    </xf>
    <xf numFmtId="176" fontId="18" fillId="5" borderId="0" xfId="0" applyFont="true" applyBorder="false" applyAlignment="false" applyProtection="false">
      <alignment horizontal="general" vertical="bottom" textRotation="0" wrapText="false" indent="0" shrinkToFit="false"/>
      <protection locked="true" hidden="false"/>
    </xf>
    <xf numFmtId="175" fontId="17" fillId="7" borderId="39" xfId="0" applyFont="true" applyBorder="true" applyAlignment="true" applyProtection="false">
      <alignment horizontal="center" vertical="bottom" textRotation="0" wrapText="true" indent="0" shrinkToFit="false"/>
      <protection locked="true" hidden="false"/>
    </xf>
    <xf numFmtId="175" fontId="17" fillId="7" borderId="49" xfId="0" applyFont="true" applyBorder="true" applyAlignment="true" applyProtection="false">
      <alignment horizontal="center" vertical="bottom" textRotation="0" wrapText="true" indent="0" shrinkToFit="false"/>
      <protection locked="true" hidden="false"/>
    </xf>
    <xf numFmtId="175" fontId="56" fillId="7" borderId="37" xfId="0" applyFont="true" applyBorder="true" applyAlignment="true" applyProtection="false">
      <alignment horizontal="center" vertical="top" textRotation="0" wrapText="true" indent="0" shrinkToFit="false"/>
      <protection locked="true" hidden="false"/>
    </xf>
    <xf numFmtId="175" fontId="17" fillId="7" borderId="37" xfId="0" applyFont="true" applyBorder="true" applyAlignment="true" applyProtection="false">
      <alignment horizontal="center" vertical="top" textRotation="0" wrapText="true" indent="0" shrinkToFit="false"/>
      <protection locked="true" hidden="false"/>
    </xf>
    <xf numFmtId="175" fontId="17" fillId="7" borderId="39" xfId="0" applyFont="true" applyBorder="true" applyAlignment="true" applyProtection="false">
      <alignment horizontal="center" vertical="top" textRotation="0" wrapText="true" indent="0" shrinkToFit="false"/>
      <protection locked="true" hidden="false"/>
    </xf>
    <xf numFmtId="175" fontId="17" fillId="7" borderId="38" xfId="0" applyFont="true" applyBorder="true" applyAlignment="true" applyProtection="false">
      <alignment horizontal="center" vertical="top" textRotation="0" wrapText="true" indent="0" shrinkToFit="false"/>
      <protection locked="true" hidden="false"/>
    </xf>
    <xf numFmtId="175" fontId="57" fillId="7" borderId="37" xfId="0" applyFont="true" applyBorder="true" applyAlignment="true" applyProtection="false">
      <alignment horizontal="center" vertical="top" textRotation="0" wrapText="true" indent="0" shrinkToFit="false"/>
      <protection locked="true" hidden="false"/>
    </xf>
    <xf numFmtId="175" fontId="57" fillId="7" borderId="39" xfId="0" applyFont="true" applyBorder="true" applyAlignment="true" applyProtection="false">
      <alignment horizontal="center" vertical="top" textRotation="0" wrapText="true" indent="0" shrinkToFit="false"/>
      <protection locked="true" hidden="false"/>
    </xf>
    <xf numFmtId="175" fontId="58" fillId="5" borderId="0" xfId="0" applyFont="true" applyBorder="true" applyAlignment="true" applyProtection="false">
      <alignment horizontal="center" vertical="bottom" textRotation="0" wrapText="true" indent="0" shrinkToFit="false"/>
      <protection locked="true" hidden="false"/>
    </xf>
    <xf numFmtId="175" fontId="17" fillId="7" borderId="37" xfId="0" applyFont="true" applyBorder="true" applyAlignment="true" applyProtection="false">
      <alignment horizontal="center" vertical="bottom" textRotation="0" wrapText="true" indent="0" shrinkToFit="false"/>
      <protection locked="true" hidden="false"/>
    </xf>
    <xf numFmtId="175" fontId="57" fillId="7" borderId="37" xfId="0" applyFont="true" applyBorder="true" applyAlignment="true" applyProtection="false">
      <alignment horizontal="center" vertical="bottom" textRotation="0" wrapText="true" indent="0" shrinkToFit="false"/>
      <protection locked="true" hidden="false"/>
    </xf>
    <xf numFmtId="176" fontId="17" fillId="7" borderId="37" xfId="0" applyFont="true" applyBorder="true" applyAlignment="true" applyProtection="false">
      <alignment horizontal="center" vertical="bottom" textRotation="0" wrapText="true" indent="0" shrinkToFit="false"/>
      <protection locked="true" hidden="false"/>
    </xf>
    <xf numFmtId="176" fontId="17" fillId="7" borderId="39" xfId="0" applyFont="true" applyBorder="true" applyAlignment="true" applyProtection="false">
      <alignment horizontal="center" vertical="bottom" textRotation="0" wrapText="true" indent="0" shrinkToFit="false"/>
      <protection locked="true" hidden="false"/>
    </xf>
    <xf numFmtId="175" fontId="59" fillId="7" borderId="39" xfId="0" applyFont="true" applyBorder="true" applyAlignment="true" applyProtection="false">
      <alignment horizontal="center" vertical="bottom" textRotation="0" wrapText="true" indent="0" shrinkToFit="false"/>
      <protection locked="true" hidden="false"/>
    </xf>
    <xf numFmtId="164" fontId="17" fillId="7" borderId="50" xfId="0" applyFont="true" applyBorder="true" applyAlignment="true" applyProtection="false">
      <alignment horizontal="center" vertical="center" textRotation="0" wrapText="true" indent="0" shrinkToFit="false"/>
      <protection locked="true" hidden="false"/>
    </xf>
    <xf numFmtId="164" fontId="17" fillId="7" borderId="51" xfId="0" applyFont="true" applyBorder="true" applyAlignment="true" applyProtection="false">
      <alignment horizontal="center" vertical="center" textRotation="0" wrapText="true" indent="0" shrinkToFit="false"/>
      <protection locked="true" hidden="false"/>
    </xf>
    <xf numFmtId="175" fontId="56" fillId="7" borderId="50" xfId="0" applyFont="true" applyBorder="true" applyAlignment="true" applyProtection="false">
      <alignment horizontal="center" vertical="bottom" textRotation="0" wrapText="true" indent="0" shrinkToFit="false"/>
      <protection locked="true" hidden="false"/>
    </xf>
    <xf numFmtId="175" fontId="17" fillId="7" borderId="50" xfId="0" applyFont="true" applyBorder="true" applyAlignment="true" applyProtection="false">
      <alignment horizontal="center" vertical="bottom" textRotation="0" wrapText="true" indent="0" shrinkToFit="false"/>
      <protection locked="true" hidden="false"/>
    </xf>
    <xf numFmtId="175" fontId="17" fillId="7" borderId="51" xfId="0" applyFont="true" applyBorder="true" applyAlignment="true" applyProtection="false">
      <alignment horizontal="center" vertical="bottom" textRotation="0" wrapText="true" indent="0" shrinkToFit="false"/>
      <protection locked="true" hidden="false"/>
    </xf>
    <xf numFmtId="175" fontId="17" fillId="7" borderId="52" xfId="0" applyFont="true" applyBorder="true" applyAlignment="true" applyProtection="false">
      <alignment horizontal="center" vertical="bottom" textRotation="0" wrapText="true" indent="0" shrinkToFit="false"/>
      <protection locked="true" hidden="false"/>
    </xf>
    <xf numFmtId="175" fontId="57" fillId="7" borderId="50" xfId="0" applyFont="true" applyBorder="true" applyAlignment="true" applyProtection="false">
      <alignment horizontal="center" vertical="bottom" textRotation="0" wrapText="true" indent="0" shrinkToFit="false"/>
      <protection locked="true" hidden="false"/>
    </xf>
    <xf numFmtId="176" fontId="17" fillId="7" borderId="50" xfId="0" applyFont="true" applyBorder="true" applyAlignment="true" applyProtection="false">
      <alignment horizontal="center" vertical="bottom" textRotation="0" wrapText="true" indent="0" shrinkToFit="false"/>
      <protection locked="true" hidden="false"/>
    </xf>
    <xf numFmtId="175" fontId="59" fillId="7" borderId="50" xfId="0" applyFont="true" applyBorder="true" applyAlignment="true" applyProtection="false">
      <alignment horizontal="center" vertical="bottom" textRotation="0" wrapText="true" indent="0" shrinkToFit="false"/>
      <protection locked="true" hidden="false"/>
    </xf>
    <xf numFmtId="175" fontId="59" fillId="5" borderId="0" xfId="0" applyFont="true" applyBorder="false" applyAlignment="true" applyProtection="false">
      <alignment horizontal="general" vertical="center" textRotation="0" wrapText="false" indent="0" shrinkToFit="false"/>
      <protection locked="true" hidden="false"/>
    </xf>
    <xf numFmtId="175" fontId="17" fillId="4" borderId="0" xfId="0" applyFont="true" applyBorder="false" applyAlignment="true" applyProtection="false">
      <alignment horizontal="center" vertical="center" textRotation="0" wrapText="false" indent="0" shrinkToFit="false"/>
      <protection locked="true" hidden="false"/>
    </xf>
    <xf numFmtId="175" fontId="17" fillId="4" borderId="0" xfId="0" applyFont="true" applyBorder="false" applyAlignment="false" applyProtection="false">
      <alignment horizontal="general" vertical="bottom" textRotation="0" wrapText="false" indent="0" shrinkToFit="false"/>
      <protection locked="true" hidden="false"/>
    </xf>
    <xf numFmtId="165" fontId="56" fillId="4" borderId="0" xfId="0" applyFont="true" applyBorder="false" applyAlignment="true" applyProtection="false">
      <alignment horizontal="right" vertical="bottom" textRotation="0" wrapText="false" indent="0" shrinkToFit="false"/>
      <protection locked="true" hidden="false"/>
    </xf>
    <xf numFmtId="165" fontId="17" fillId="4" borderId="0" xfId="0" applyFont="true" applyBorder="false" applyAlignment="true" applyProtection="false">
      <alignment horizontal="right" vertical="bottom" textRotation="0" wrapText="false" indent="0" shrinkToFit="false"/>
      <protection locked="true" hidden="false"/>
    </xf>
    <xf numFmtId="165" fontId="25" fillId="4" borderId="0" xfId="0" applyFont="true" applyBorder="false" applyAlignment="true" applyProtection="false">
      <alignment horizontal="right" vertical="bottom" textRotation="0" wrapText="false" indent="0" shrinkToFit="false"/>
      <protection locked="true" hidden="false"/>
    </xf>
    <xf numFmtId="165" fontId="17" fillId="4" borderId="53" xfId="0" applyFont="true" applyBorder="true" applyAlignment="true" applyProtection="false">
      <alignment horizontal="right" vertical="bottom" textRotation="0" wrapText="false" indent="0" shrinkToFit="false"/>
      <protection locked="true" hidden="false"/>
    </xf>
    <xf numFmtId="165" fontId="17" fillId="4" borderId="40" xfId="0" applyFont="true" applyBorder="true" applyAlignment="true" applyProtection="false">
      <alignment horizontal="right" vertical="bottom" textRotation="0" wrapText="false" indent="0" shrinkToFit="false"/>
      <protection locked="true" hidden="false"/>
    </xf>
    <xf numFmtId="165" fontId="57" fillId="4" borderId="0" xfId="0" applyFont="true" applyBorder="false" applyAlignment="true" applyProtection="false">
      <alignment horizontal="right" vertical="bottom" textRotation="0" wrapText="false" indent="0" shrinkToFit="false"/>
      <protection locked="true" hidden="false"/>
    </xf>
    <xf numFmtId="165" fontId="57" fillId="4" borderId="53" xfId="0" applyFont="true" applyBorder="true" applyAlignment="true" applyProtection="false">
      <alignment horizontal="right" vertical="bottom" textRotation="0" wrapText="false" indent="0" shrinkToFit="false"/>
      <protection locked="true" hidden="false"/>
    </xf>
    <xf numFmtId="165" fontId="58" fillId="5" borderId="0" xfId="0" applyFont="true" applyBorder="false" applyAlignment="true" applyProtection="false">
      <alignment horizontal="right" vertical="bottom" textRotation="0" wrapText="false" indent="0" shrinkToFit="false"/>
      <protection locked="true" hidden="false"/>
    </xf>
    <xf numFmtId="176" fontId="17" fillId="4" borderId="0" xfId="0" applyFont="true" applyBorder="false" applyAlignment="true" applyProtection="false">
      <alignment horizontal="right" vertical="bottom" textRotation="0" wrapText="false" indent="0" shrinkToFit="false"/>
      <protection locked="true" hidden="false"/>
    </xf>
    <xf numFmtId="176" fontId="17" fillId="4" borderId="53" xfId="0" applyFont="true" applyBorder="true" applyAlignment="true" applyProtection="false">
      <alignment horizontal="right" vertical="bottom" textRotation="0" wrapText="false" indent="0" shrinkToFit="false"/>
      <protection locked="true" hidden="false"/>
    </xf>
    <xf numFmtId="165" fontId="59" fillId="4" borderId="53" xfId="0" applyFont="true" applyBorder="true" applyAlignment="true" applyProtection="false">
      <alignment horizontal="right" vertical="bottom" textRotation="0" wrapText="false" indent="0" shrinkToFit="false"/>
      <protection locked="true" hidden="false"/>
    </xf>
    <xf numFmtId="175" fontId="17" fillId="6" borderId="0" xfId="0" applyFont="true" applyBorder="false" applyAlignment="true" applyProtection="false">
      <alignment horizontal="center" vertical="center" textRotation="0" wrapText="false" indent="0" shrinkToFit="false"/>
      <protection locked="true" hidden="false"/>
    </xf>
    <xf numFmtId="175" fontId="17" fillId="6" borderId="0" xfId="0" applyFont="true" applyBorder="false" applyAlignment="false" applyProtection="false">
      <alignment horizontal="general" vertical="bottom" textRotation="0" wrapText="false" indent="0" shrinkToFit="false"/>
      <protection locked="true" hidden="false"/>
    </xf>
    <xf numFmtId="165" fontId="56" fillId="6" borderId="0" xfId="0" applyFont="true" applyBorder="false" applyAlignment="true" applyProtection="false">
      <alignment horizontal="right" vertical="bottom" textRotation="0" wrapText="false" indent="0" shrinkToFit="false"/>
      <protection locked="true" hidden="false"/>
    </xf>
    <xf numFmtId="165" fontId="17" fillId="6" borderId="0" xfId="0" applyFont="true" applyBorder="false" applyAlignment="true" applyProtection="false">
      <alignment horizontal="right" vertical="bottom" textRotation="0" wrapText="false" indent="0" shrinkToFit="false"/>
      <protection locked="true" hidden="false"/>
    </xf>
    <xf numFmtId="165" fontId="17" fillId="6" borderId="53" xfId="0" applyFont="true" applyBorder="true" applyAlignment="true" applyProtection="false">
      <alignment horizontal="right" vertical="bottom" textRotation="0" wrapText="false" indent="0" shrinkToFit="false"/>
      <protection locked="true" hidden="false"/>
    </xf>
    <xf numFmtId="165" fontId="17" fillId="6" borderId="40" xfId="0" applyFont="true" applyBorder="true" applyAlignment="true" applyProtection="false">
      <alignment horizontal="right" vertical="bottom" textRotation="0" wrapText="false" indent="0" shrinkToFit="false"/>
      <protection locked="true" hidden="false"/>
    </xf>
    <xf numFmtId="165" fontId="57" fillId="6" borderId="0" xfId="0" applyFont="true" applyBorder="false" applyAlignment="true" applyProtection="false">
      <alignment horizontal="right" vertical="bottom" textRotation="0" wrapText="false" indent="0" shrinkToFit="false"/>
      <protection locked="true" hidden="false"/>
    </xf>
    <xf numFmtId="165" fontId="57" fillId="6" borderId="53" xfId="0" applyFont="true" applyBorder="true" applyAlignment="true" applyProtection="false">
      <alignment horizontal="right" vertical="bottom" textRotation="0" wrapText="false" indent="0" shrinkToFit="false"/>
      <protection locked="true" hidden="false"/>
    </xf>
    <xf numFmtId="176" fontId="17" fillId="6" borderId="0" xfId="0" applyFont="true" applyBorder="false" applyAlignment="true" applyProtection="false">
      <alignment horizontal="right" vertical="bottom" textRotation="0" wrapText="false" indent="0" shrinkToFit="false"/>
      <protection locked="true" hidden="false"/>
    </xf>
    <xf numFmtId="176" fontId="17" fillId="6" borderId="53" xfId="0" applyFont="true" applyBorder="true" applyAlignment="true" applyProtection="false">
      <alignment horizontal="right" vertical="bottom" textRotation="0" wrapText="false" indent="0" shrinkToFit="false"/>
      <protection locked="true" hidden="false"/>
    </xf>
    <xf numFmtId="165" fontId="59" fillId="6" borderId="53" xfId="0" applyFont="true" applyBorder="true" applyAlignment="true" applyProtection="false">
      <alignment horizontal="right" vertical="bottom" textRotation="0" wrapText="false" indent="0" shrinkToFit="false"/>
      <protection locked="true" hidden="false"/>
    </xf>
    <xf numFmtId="175" fontId="17" fillId="2" borderId="0" xfId="0" applyFont="true" applyBorder="false" applyAlignment="true" applyProtection="false">
      <alignment horizontal="center" vertical="center" textRotation="0" wrapText="false" indent="0" shrinkToFit="false"/>
      <protection locked="true" hidden="false"/>
    </xf>
    <xf numFmtId="175" fontId="17" fillId="2" borderId="0" xfId="0" applyFont="true" applyBorder="false" applyAlignment="false" applyProtection="false">
      <alignment horizontal="general" vertical="bottom" textRotation="0" wrapText="false" indent="0" shrinkToFit="false"/>
      <protection locked="true" hidden="false"/>
    </xf>
    <xf numFmtId="165" fontId="56" fillId="2" borderId="0" xfId="0" applyFont="true" applyBorder="false" applyAlignment="true" applyProtection="false">
      <alignment horizontal="right" vertical="bottom" textRotation="0" wrapText="false" indent="0" shrinkToFit="false"/>
      <protection locked="true" hidden="false"/>
    </xf>
    <xf numFmtId="165" fontId="17" fillId="2" borderId="0" xfId="0" applyFont="true" applyBorder="false" applyAlignment="true" applyProtection="false">
      <alignment horizontal="right" vertical="bottom" textRotation="0" wrapText="false" indent="0" shrinkToFit="false"/>
      <protection locked="true" hidden="false"/>
    </xf>
    <xf numFmtId="165" fontId="17" fillId="2" borderId="53" xfId="0" applyFont="true" applyBorder="true" applyAlignment="true" applyProtection="false">
      <alignment horizontal="right" vertical="bottom" textRotation="0" wrapText="false" indent="0" shrinkToFit="false"/>
      <protection locked="true" hidden="false"/>
    </xf>
    <xf numFmtId="165" fontId="17" fillId="2" borderId="40" xfId="0" applyFont="true" applyBorder="true" applyAlignment="true" applyProtection="false">
      <alignment horizontal="right" vertical="bottom" textRotation="0" wrapText="false" indent="0" shrinkToFit="false"/>
      <protection locked="true" hidden="false"/>
    </xf>
    <xf numFmtId="165" fontId="57" fillId="2" borderId="0" xfId="0" applyFont="true" applyBorder="false" applyAlignment="true" applyProtection="false">
      <alignment horizontal="right" vertical="bottom" textRotation="0" wrapText="false" indent="0" shrinkToFit="false"/>
      <protection locked="true" hidden="false"/>
    </xf>
    <xf numFmtId="165" fontId="57" fillId="2" borderId="53" xfId="0" applyFont="true" applyBorder="true" applyAlignment="true" applyProtection="false">
      <alignment horizontal="right" vertical="bottom" textRotation="0" wrapText="false" indent="0" shrinkToFit="false"/>
      <protection locked="true" hidden="false"/>
    </xf>
    <xf numFmtId="176" fontId="17" fillId="2" borderId="0" xfId="0" applyFont="true" applyBorder="false" applyAlignment="true" applyProtection="false">
      <alignment horizontal="right" vertical="bottom" textRotation="0" wrapText="false" indent="0" shrinkToFit="false"/>
      <protection locked="true" hidden="false"/>
    </xf>
    <xf numFmtId="176" fontId="17" fillId="2" borderId="53" xfId="0" applyFont="true" applyBorder="true" applyAlignment="true" applyProtection="false">
      <alignment horizontal="right" vertical="bottom" textRotation="0" wrapText="false" indent="0" shrinkToFit="false"/>
      <protection locked="true" hidden="false"/>
    </xf>
    <xf numFmtId="165" fontId="59" fillId="2" borderId="53" xfId="0" applyFont="true" applyBorder="true" applyAlignment="true" applyProtection="false">
      <alignment horizontal="right" vertical="bottom" textRotation="0" wrapText="false" indent="0" shrinkToFit="false"/>
      <protection locked="true" hidden="false"/>
    </xf>
    <xf numFmtId="175" fontId="17" fillId="5" borderId="0" xfId="0" applyFont="true" applyBorder="false" applyAlignment="true" applyProtection="false">
      <alignment horizontal="center" vertical="center" textRotation="0" wrapText="false" indent="0" shrinkToFit="false"/>
      <protection locked="true" hidden="false"/>
    </xf>
    <xf numFmtId="175" fontId="17" fillId="5" borderId="0" xfId="0" applyFont="true" applyBorder="false" applyAlignment="false" applyProtection="false">
      <alignment horizontal="general" vertical="bottom" textRotation="0" wrapText="false" indent="0" shrinkToFit="false"/>
      <protection locked="true" hidden="false"/>
    </xf>
    <xf numFmtId="165" fontId="56" fillId="5" borderId="0" xfId="0" applyFont="true" applyBorder="false" applyAlignment="true" applyProtection="false">
      <alignment horizontal="right" vertical="bottom" textRotation="0" wrapText="false" indent="0" shrinkToFit="false"/>
      <protection locked="true" hidden="false"/>
    </xf>
    <xf numFmtId="165" fontId="17" fillId="5" borderId="0" xfId="0" applyFont="true" applyBorder="false" applyAlignment="true" applyProtection="false">
      <alignment horizontal="right" vertical="bottom" textRotation="0" wrapText="false" indent="0" shrinkToFit="false"/>
      <protection locked="true" hidden="false"/>
    </xf>
    <xf numFmtId="165" fontId="17" fillId="5" borderId="53" xfId="0" applyFont="true" applyBorder="true" applyAlignment="true" applyProtection="false">
      <alignment horizontal="right" vertical="bottom" textRotation="0" wrapText="false" indent="0" shrinkToFit="false"/>
      <protection locked="true" hidden="false"/>
    </xf>
    <xf numFmtId="165" fontId="17" fillId="5" borderId="40" xfId="0" applyFont="true" applyBorder="true" applyAlignment="true" applyProtection="false">
      <alignment horizontal="right" vertical="bottom" textRotation="0" wrapText="false" indent="0" shrinkToFit="false"/>
      <protection locked="true" hidden="false"/>
    </xf>
    <xf numFmtId="165" fontId="57" fillId="5" borderId="0" xfId="0" applyFont="true" applyBorder="false" applyAlignment="true" applyProtection="false">
      <alignment horizontal="right" vertical="bottom" textRotation="0" wrapText="false" indent="0" shrinkToFit="false"/>
      <protection locked="true" hidden="false"/>
    </xf>
    <xf numFmtId="165" fontId="57" fillId="5" borderId="53" xfId="0" applyFont="true" applyBorder="true" applyAlignment="true" applyProtection="false">
      <alignment horizontal="right" vertical="bottom" textRotation="0" wrapText="false" indent="0" shrinkToFit="false"/>
      <protection locked="true" hidden="false"/>
    </xf>
    <xf numFmtId="176" fontId="17" fillId="5" borderId="0" xfId="0" applyFont="true" applyBorder="false" applyAlignment="true" applyProtection="false">
      <alignment horizontal="right" vertical="bottom" textRotation="0" wrapText="false" indent="0" shrinkToFit="false"/>
      <protection locked="true" hidden="false"/>
    </xf>
    <xf numFmtId="176" fontId="17" fillId="5" borderId="53" xfId="0" applyFont="true" applyBorder="true" applyAlignment="true" applyProtection="false">
      <alignment horizontal="right" vertical="bottom" textRotation="0" wrapText="false" indent="0" shrinkToFit="false"/>
      <protection locked="true" hidden="false"/>
    </xf>
    <xf numFmtId="165" fontId="59" fillId="5" borderId="53" xfId="0" applyFont="true" applyBorder="true" applyAlignment="true" applyProtection="false">
      <alignment horizontal="right" vertical="bottom" textRotation="0" wrapText="false" indent="0" shrinkToFit="false"/>
      <protection locked="true" hidden="false"/>
    </xf>
    <xf numFmtId="175" fontId="57" fillId="5" borderId="0" xfId="0" applyFont="true" applyBorder="false" applyAlignment="false" applyProtection="false">
      <alignment horizontal="general" vertical="bottom" textRotation="0" wrapText="false" indent="0" shrinkToFit="false"/>
      <protection locked="true" hidden="false"/>
    </xf>
    <xf numFmtId="176" fontId="17" fillId="5" borderId="0" xfId="0" applyFont="true" applyBorder="false" applyAlignment="false" applyProtection="false">
      <alignment horizontal="general" vertical="bottom" textRotation="0" wrapText="false" indent="0" shrinkToFit="false"/>
      <protection locked="true" hidden="false"/>
    </xf>
    <xf numFmtId="175" fontId="17" fillId="0" borderId="0" xfId="0" applyFont="true" applyBorder="false" applyAlignment="false" applyProtection="false">
      <alignment horizontal="general" vertical="bottom" textRotation="0" wrapText="false" indent="0" shrinkToFit="false"/>
      <protection locked="true" hidden="false"/>
    </xf>
    <xf numFmtId="175" fontId="57" fillId="0" borderId="0" xfId="0" applyFont="true" applyBorder="false" applyAlignment="false" applyProtection="false">
      <alignment horizontal="general" vertical="bottom" textRotation="0" wrapText="false" indent="0" shrinkToFit="false"/>
      <protection locked="true" hidden="false"/>
    </xf>
    <xf numFmtId="176" fontId="1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0" fillId="28" borderId="54" xfId="0" applyFont="true" applyBorder="true" applyAlignment="true" applyProtection="true">
      <alignment horizontal="general" vertical="bottom" textRotation="0" wrapText="true" indent="0" shrinkToFit="false"/>
      <protection locked="true" hidden="false"/>
    </xf>
    <xf numFmtId="164" fontId="61" fillId="0" borderId="0" xfId="0" applyFont="true" applyBorder="false" applyAlignment="true" applyProtection="true">
      <alignment horizontal="general" vertical="top" textRotation="0" wrapText="true" indent="0" shrinkToFit="false"/>
      <protection locked="true" hidden="false"/>
    </xf>
    <xf numFmtId="177" fontId="61" fillId="0" borderId="0" xfId="0" applyFont="true" applyBorder="false" applyAlignment="true" applyProtection="true">
      <alignment horizontal="general" vertical="top" textRotation="0" wrapText="false" indent="0" shrinkToFit="false"/>
      <protection locked="true" hidden="false"/>
    </xf>
    <xf numFmtId="178" fontId="61" fillId="0" borderId="0" xfId="0" applyFont="true" applyBorder="false" applyAlignment="true" applyProtection="true">
      <alignment horizontal="general" vertical="top" textRotation="0" wrapText="false" indent="0" shrinkToFit="false"/>
      <protection locked="true" hidden="false"/>
    </xf>
    <xf numFmtId="164" fontId="61" fillId="0" borderId="0" xfId="0" applyFont="true" applyBorder="false" applyAlignment="true" applyProtection="true">
      <alignment horizontal="general" vertical="top" textRotation="0" wrapText="false" indent="0" shrinkToFit="false"/>
      <protection locked="true" hidden="false"/>
    </xf>
  </cellXfs>
  <cellStyles count="199">
    <cellStyle name="Normal" xfId="0" builtinId="0"/>
    <cellStyle name="Comma" xfId="15" builtinId="3"/>
    <cellStyle name="Comma [0]" xfId="16" builtinId="6"/>
    <cellStyle name="Currency" xfId="17" builtinId="4"/>
    <cellStyle name="Currency [0]" xfId="18" builtinId="7"/>
    <cellStyle name="Percent" xfId="19" builtinId="5"/>
    <cellStyle name="20 % - Accent1 2" xfId="20"/>
    <cellStyle name="20 % - Accent1 2 2" xfId="21"/>
    <cellStyle name="20 % - Accent1 3" xfId="22"/>
    <cellStyle name="20 % - Accent1 4" xfId="23"/>
    <cellStyle name="20 % - Accent1 5" xfId="24"/>
    <cellStyle name="20 % - Accent2 2" xfId="25"/>
    <cellStyle name="20 % - Accent2 2 2" xfId="26"/>
    <cellStyle name="20 % - Accent2 3" xfId="27"/>
    <cellStyle name="20 % - Accent2 4" xfId="28"/>
    <cellStyle name="20 % - Accent2 5" xfId="29"/>
    <cellStyle name="20 % - Accent3 2" xfId="30"/>
    <cellStyle name="20 % - Accent3 2 2" xfId="31"/>
    <cellStyle name="20 % - Accent3 3" xfId="32"/>
    <cellStyle name="20 % - Accent3 4" xfId="33"/>
    <cellStyle name="20 % - Accent3 5" xfId="34"/>
    <cellStyle name="20 % - Accent4 2" xfId="35"/>
    <cellStyle name="20 % - Accent4 2 2" xfId="36"/>
    <cellStyle name="20 % - Accent4 3" xfId="37"/>
    <cellStyle name="20 % - Accent4 4" xfId="38"/>
    <cellStyle name="20 % - Accent4 5" xfId="39"/>
    <cellStyle name="20 % - Accent5 2" xfId="40"/>
    <cellStyle name="20 % - Accent5 2 2" xfId="41"/>
    <cellStyle name="20 % - Accent5 3" xfId="42"/>
    <cellStyle name="20 % - Accent5 4" xfId="43"/>
    <cellStyle name="20 % - Accent5 5" xfId="44"/>
    <cellStyle name="20 % - Accent6 2" xfId="45"/>
    <cellStyle name="20 % - Accent6 2 2" xfId="46"/>
    <cellStyle name="20 % - Accent6 3" xfId="47"/>
    <cellStyle name="20 % - Accent6 4" xfId="48"/>
    <cellStyle name="20 % - Accent6 5" xfId="49"/>
    <cellStyle name="40 % - Accent1 2" xfId="50"/>
    <cellStyle name="40 % - Accent1 2 2" xfId="51"/>
    <cellStyle name="40 % - Accent1 3" xfId="52"/>
    <cellStyle name="40 % - Accent1 4" xfId="53"/>
    <cellStyle name="40 % - Accent1 5" xfId="54"/>
    <cellStyle name="40 % - Accent2 2" xfId="55"/>
    <cellStyle name="40 % - Accent2 2 2" xfId="56"/>
    <cellStyle name="40 % - Accent2 3" xfId="57"/>
    <cellStyle name="40 % - Accent2 4" xfId="58"/>
    <cellStyle name="40 % - Accent2 5" xfId="59"/>
    <cellStyle name="40 % - Accent3 2" xfId="60"/>
    <cellStyle name="40 % - Accent3 2 2" xfId="61"/>
    <cellStyle name="40 % - Accent3 3" xfId="62"/>
    <cellStyle name="40 % - Accent3 4" xfId="63"/>
    <cellStyle name="40 % - Accent3 5" xfId="64"/>
    <cellStyle name="40 % - Accent4 2" xfId="65"/>
    <cellStyle name="40 % - Accent4 2 2" xfId="66"/>
    <cellStyle name="40 % - Accent4 3" xfId="67"/>
    <cellStyle name="40 % - Accent4 4" xfId="68"/>
    <cellStyle name="40 % - Accent4 5" xfId="69"/>
    <cellStyle name="40 % - Accent5 2" xfId="70"/>
    <cellStyle name="40 % - Accent5 2 2" xfId="71"/>
    <cellStyle name="40 % - Accent5 3" xfId="72"/>
    <cellStyle name="40 % - Accent5 4" xfId="73"/>
    <cellStyle name="40 % - Accent5 5" xfId="74"/>
    <cellStyle name="40 % - Accent6 2" xfId="75"/>
    <cellStyle name="40 % - Accent6 2 2" xfId="76"/>
    <cellStyle name="40 % - Accent6 3" xfId="77"/>
    <cellStyle name="40 % - Accent6 4" xfId="78"/>
    <cellStyle name="40 % - Accent6 5" xfId="79"/>
    <cellStyle name="60 % - Accent1 2" xfId="80"/>
    <cellStyle name="60 % - Accent1 3" xfId="81"/>
    <cellStyle name="60 % - Accent2 2" xfId="82"/>
    <cellStyle name="60 % - Accent2 3" xfId="83"/>
    <cellStyle name="60 % - Accent3 2" xfId="84"/>
    <cellStyle name="60 % - Accent3 3" xfId="85"/>
    <cellStyle name="60 % - Accent4 2" xfId="86"/>
    <cellStyle name="60 % - Accent4 3" xfId="87"/>
    <cellStyle name="60 % - Accent5 2" xfId="88"/>
    <cellStyle name="60 % - Accent5 3" xfId="89"/>
    <cellStyle name="60 % - Accent6 2" xfId="90"/>
    <cellStyle name="60 % - Accent6 3" xfId="91"/>
    <cellStyle name="Accent1 2" xfId="92"/>
    <cellStyle name="Accent1 3" xfId="93"/>
    <cellStyle name="Accent2 2" xfId="94"/>
    <cellStyle name="Accent2 3" xfId="95"/>
    <cellStyle name="Accent3 2" xfId="96"/>
    <cellStyle name="Accent3 3" xfId="97"/>
    <cellStyle name="Accent4 2" xfId="98"/>
    <cellStyle name="Accent4 3" xfId="99"/>
    <cellStyle name="Accent5 2" xfId="100"/>
    <cellStyle name="Accent5 3" xfId="101"/>
    <cellStyle name="Accent6 2" xfId="102"/>
    <cellStyle name="Accent6 3" xfId="103"/>
    <cellStyle name="Avertissement 2" xfId="104"/>
    <cellStyle name="Avertissement 3" xfId="105"/>
    <cellStyle name="Calcul 2" xfId="106"/>
    <cellStyle name="Calcul 3" xfId="107"/>
    <cellStyle name="Calcul 4" xfId="108"/>
    <cellStyle name="Cellule liée 2" xfId="109"/>
    <cellStyle name="Cellule liée 3" xfId="110"/>
    <cellStyle name="Commentaire 2" xfId="111"/>
    <cellStyle name="Commentaire 2 2" xfId="112"/>
    <cellStyle name="Commentaire 3" xfId="113"/>
    <cellStyle name="Date" xfId="114"/>
    <cellStyle name="DEFINITION" xfId="115"/>
    <cellStyle name="En-tête" xfId="116"/>
    <cellStyle name="Entrée 2" xfId="117"/>
    <cellStyle name="Entrée 3" xfId="118"/>
    <cellStyle name="Entrée 4" xfId="119"/>
    <cellStyle name="Euro" xfId="120"/>
    <cellStyle name="Euro 2" xfId="121"/>
    <cellStyle name="Euro 3" xfId="122"/>
    <cellStyle name="FILET_HAUT" xfId="123"/>
    <cellStyle name="Insatisfaisant 2" xfId="124"/>
    <cellStyle name="Insatisfaisant 3" xfId="125"/>
    <cellStyle name="josette" xfId="126"/>
    <cellStyle name="Lien hypertexte 2" xfId="127"/>
    <cellStyle name="Lien hypertexte 3" xfId="128"/>
    <cellStyle name="Ligne_Bas" xfId="129"/>
    <cellStyle name="Milliers 2" xfId="130"/>
    <cellStyle name="Milliers 2 2" xfId="131"/>
    <cellStyle name="Milliers 2 3" xfId="132"/>
    <cellStyle name="Milliers 3" xfId="133"/>
    <cellStyle name="Milliers 3 2" xfId="134"/>
    <cellStyle name="Milliers 4" xfId="135"/>
    <cellStyle name="Milliers 4 2" xfId="136"/>
    <cellStyle name="Milliers 5" xfId="137"/>
    <cellStyle name="Motif" xfId="138"/>
    <cellStyle name="Motif 2" xfId="139"/>
    <cellStyle name="Neutre 2" xfId="140"/>
    <cellStyle name="Neutre 3" xfId="141"/>
    <cellStyle name="Nom_Département" xfId="142"/>
    <cellStyle name="Normal 2" xfId="143"/>
    <cellStyle name="Normal 2 2" xfId="144"/>
    <cellStyle name="Normal 2 2 2" xfId="145"/>
    <cellStyle name="Normal 2 2 3" xfId="146"/>
    <cellStyle name="Normal 2 3" xfId="147"/>
    <cellStyle name="Normal 2 3 2" xfId="148"/>
    <cellStyle name="Normal 3" xfId="149"/>
    <cellStyle name="Normal 4" xfId="150"/>
    <cellStyle name="Normal 4 2" xfId="151"/>
    <cellStyle name="Normal 4 3" xfId="152"/>
    <cellStyle name="Normal 5" xfId="153"/>
    <cellStyle name="Normal 5 2" xfId="154"/>
    <cellStyle name="Normal 5 3" xfId="155"/>
    <cellStyle name="Normal 5 4" xfId="156"/>
    <cellStyle name="Normal 6" xfId="157"/>
    <cellStyle name="Normal 6 2" xfId="158"/>
    <cellStyle name="Normal 7" xfId="159"/>
    <cellStyle name="Normal_tab series longues FPT" xfId="160"/>
    <cellStyle name="Note 2" xfId="161"/>
    <cellStyle name="Note 3" xfId="162"/>
    <cellStyle name="Note 4" xfId="163"/>
    <cellStyle name="NOTE01" xfId="164"/>
    <cellStyle name="Pourcentage 2" xfId="165"/>
    <cellStyle name="Pourcentage 2 2" xfId="166"/>
    <cellStyle name="Pourcentage 2 3" xfId="167"/>
    <cellStyle name="Pourcentage 2 4" xfId="168"/>
    <cellStyle name="REMARQ01" xfId="169"/>
    <cellStyle name="Résultat2" xfId="170"/>
    <cellStyle name="S/TT_Nom" xfId="171"/>
    <cellStyle name="Sans nom1" xfId="172"/>
    <cellStyle name="Satisfaisant 2" xfId="173"/>
    <cellStyle name="Satisfaisant 3" xfId="174"/>
    <cellStyle name="Service_+" xfId="175"/>
    <cellStyle name="Sortie 2" xfId="176"/>
    <cellStyle name="Sortie 3" xfId="177"/>
    <cellStyle name="Sortie 4" xfId="178"/>
    <cellStyle name="SOURSITU" xfId="179"/>
    <cellStyle name="SOUS TOT" xfId="180"/>
    <cellStyle name="Sous_Total" xfId="181"/>
    <cellStyle name="TABL01" xfId="182"/>
    <cellStyle name="Texte explicatif 2" xfId="183"/>
    <cellStyle name="Texte explicatif 3" xfId="184"/>
    <cellStyle name="TITCOL01" xfId="185"/>
    <cellStyle name="TITCOLG1" xfId="186"/>
    <cellStyle name="TITLIG01" xfId="187"/>
    <cellStyle name="Titre 2" xfId="188"/>
    <cellStyle name="Titre 3" xfId="189"/>
    <cellStyle name="TITRE01" xfId="190"/>
    <cellStyle name="Titre1" xfId="191"/>
    <cellStyle name="Titre 1 2" xfId="192"/>
    <cellStyle name="Titre 1 3" xfId="193"/>
    <cellStyle name="Titre 2 2" xfId="194"/>
    <cellStyle name="Titre 2 3" xfId="195"/>
    <cellStyle name="Titre 3 2" xfId="196"/>
    <cellStyle name="Titre 3 3" xfId="197"/>
    <cellStyle name="Titre 4 2" xfId="198"/>
    <cellStyle name="Titre 4 3" xfId="199"/>
    <cellStyle name="Total 2" xfId="200"/>
    <cellStyle name="Total 3" xfId="201"/>
    <cellStyle name="Total 4" xfId="202"/>
    <cellStyle name="TOTAL01" xfId="203"/>
    <cellStyle name="TOTALG1" xfId="204"/>
    <cellStyle name="TT_DPT_Corps" xfId="205"/>
    <cellStyle name="UNITE" xfId="206"/>
    <cellStyle name="Valeur" xfId="207"/>
    <cellStyle name="Vide_Département" xfId="208"/>
    <cellStyle name="Villes" xfId="209"/>
    <cellStyle name="Villes 2" xfId="210"/>
    <cellStyle name="Vérification 2" xfId="211"/>
    <cellStyle name="Vérification 3" xfId="212"/>
  </cellStyles>
  <dxfs count="3">
    <dxf>
      <fill>
        <patternFill patternType="solid">
          <fgColor rgb="FFC0C0C0"/>
          <bgColor rgb="FF000000"/>
        </patternFill>
      </fill>
    </dxf>
    <dxf>
      <fill>
        <patternFill patternType="solid">
          <bgColor rgb="FF000000"/>
        </patternFill>
      </fill>
    </dxf>
    <dxf>
      <fill>
        <patternFill patternType="solid">
          <fgColor rgb="FFF6F2EA"/>
          <bgColor rgb="FF000000"/>
        </patternFill>
      </fill>
    </dxf>
  </dxfs>
  <colors>
    <indexedColors>
      <rgbColor rgb="FF000000"/>
      <rgbColor rgb="FFFFFFFF"/>
      <rgbColor rgb="FFFF0000"/>
      <rgbColor rgb="FF00FF00"/>
      <rgbColor rgb="FF0000FF"/>
      <rgbColor rgb="FFF6F2EA"/>
      <rgbColor rgb="FFFF00FF"/>
      <rgbColor rgb="FF00FFFF"/>
      <rgbColor rgb="FF800000"/>
      <rgbColor rgb="FF008000"/>
      <rgbColor rgb="FF000080"/>
      <rgbColor rgb="FF808000"/>
      <rgbColor rgb="FF800080"/>
      <rgbColor rgb="FF008080"/>
      <rgbColor rgb="FFC0C0C0"/>
      <rgbColor rgb="FF808080"/>
      <rgbColor rgb="FFDDD7CD"/>
      <rgbColor rgb="FF993366"/>
      <rgbColor rgb="FFFFFFCC"/>
      <rgbColor rgb="FFCCFFFF"/>
      <rgbColor rgb="FF660066"/>
      <rgbColor rgb="FFFF8080"/>
      <rgbColor rgb="FF0066CC"/>
      <rgbColor rgb="FFCCCCFF"/>
      <rgbColor rgb="FF000080"/>
      <rgbColor rgb="FFFF00FF"/>
      <rgbColor rgb="FFDFDFDF"/>
      <rgbColor rgb="FF00FFFF"/>
      <rgbColor rgb="FF800080"/>
      <rgbColor rgb="FF800000"/>
      <rgbColor rgb="FF008080"/>
      <rgbColor rgb="FF0000FF"/>
      <rgbColor rgb="FF00CCFF"/>
      <rgbColor rgb="FFEFEFE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J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0546875" defaultRowHeight="12.5" customHeight="false" zeroHeight="false" outlineLevelRow="0" outlineLevelCol="0"/>
  <cols>
    <col collapsed="false" customWidth="true" hidden="false" outlineLevel="0" max="3" min="3" style="0" width="23.44"/>
    <col collapsed="false" customWidth="true" hidden="false" outlineLevel="0" max="4" min="4" style="0" width="7.9"/>
    <col collapsed="false" customWidth="true" hidden="false" outlineLevel="0" max="5" min="5" style="0" width="7.72"/>
    <col collapsed="false" customWidth="true" hidden="false" outlineLevel="0" max="6" min="6" style="0" width="12.81"/>
    <col collapsed="false" customWidth="true" hidden="false" outlineLevel="0" max="7" min="7" style="0" width="7.72"/>
    <col collapsed="false" customWidth="true" hidden="false" outlineLevel="0" max="8" min="8" style="0" width="9.9"/>
    <col collapsed="false" customWidth="true" hidden="false" outlineLevel="0" max="9" min="9" style="0" width="12.99"/>
    <col collapsed="false" customWidth="true" hidden="false" outlineLevel="0" max="10" min="10" style="0" width="12.44"/>
  </cols>
  <sheetData>
    <row r="2" customFormat="false" ht="13" hidden="false" customHeight="false" outlineLevel="0" collapsed="false"/>
    <row r="3" customFormat="false" ht="13" hidden="false" customHeight="true" outlineLevel="0" collapsed="false">
      <c r="D3" s="1" t="s">
        <v>0</v>
      </c>
      <c r="E3" s="2" t="s">
        <v>1</v>
      </c>
      <c r="F3" s="2"/>
      <c r="G3" s="2"/>
      <c r="H3" s="2" t="s">
        <v>2</v>
      </c>
      <c r="I3" s="2"/>
      <c r="J3" s="2"/>
    </row>
    <row r="4" customFormat="false" ht="39.5" hidden="false" customHeight="false" outlineLevel="0" collapsed="false">
      <c r="C4" s="3" t="s">
        <v>3</v>
      </c>
      <c r="D4" s="1"/>
      <c r="E4" s="4" t="s">
        <v>4</v>
      </c>
      <c r="F4" s="5" t="s">
        <v>5</v>
      </c>
      <c r="G4" s="6" t="s">
        <v>6</v>
      </c>
      <c r="H4" s="4" t="s">
        <v>7</v>
      </c>
      <c r="I4" s="5" t="s">
        <v>8</v>
      </c>
      <c r="J4" s="6" t="s">
        <v>9</v>
      </c>
    </row>
    <row r="5" customFormat="false" ht="13" hidden="false" customHeight="false" outlineLevel="0" collapsed="false">
      <c r="C5" s="7" t="s">
        <v>10</v>
      </c>
      <c r="D5" s="8" t="n">
        <f aca="false">SUM(D6:D7,D8:D9)</f>
        <v>1104</v>
      </c>
      <c r="E5" s="9" t="n">
        <f aca="false">SUM(E6:E9)</f>
        <v>78</v>
      </c>
      <c r="F5" s="10" t="n">
        <f aca="false">SUM(F6:F9)</f>
        <v>668</v>
      </c>
      <c r="G5" s="11" t="n">
        <f aca="false">SUM(G6:G9)</f>
        <v>55</v>
      </c>
      <c r="H5" s="10" t="n">
        <f aca="false">SUM(H6:H9)</f>
        <v>40</v>
      </c>
      <c r="I5" s="10" t="n">
        <f aca="false">SUM(I6:I9)</f>
        <v>258</v>
      </c>
      <c r="J5" s="11" t="n">
        <f aca="false">SUM(J6:J9)</f>
        <v>5</v>
      </c>
    </row>
    <row r="6" customFormat="false" ht="12.5" hidden="false" customHeight="false" outlineLevel="0" collapsed="false">
      <c r="C6" s="12" t="s">
        <v>11</v>
      </c>
      <c r="D6" s="13" t="n">
        <f aca="false">'Opérateurs R'!F3</f>
        <v>434</v>
      </c>
      <c r="E6" s="14" t="n">
        <f aca="false">'Opérateurs R'!N3</f>
        <v>15</v>
      </c>
      <c r="F6" s="15" t="n">
        <f aca="false">'Opérateurs R'!O3</f>
        <v>123</v>
      </c>
      <c r="G6" s="16" t="n">
        <f aca="false">'Opérateurs R'!R3</f>
        <v>34</v>
      </c>
      <c r="H6" s="15" t="n">
        <f aca="false">'Opérateurs R'!P3</f>
        <v>36</v>
      </c>
      <c r="I6" s="15" t="n">
        <f aca="false">'Opérateurs R'!Q3</f>
        <v>226</v>
      </c>
      <c r="J6" s="16"/>
    </row>
    <row r="7" customFormat="false" ht="12.5" hidden="false" customHeight="false" outlineLevel="0" collapsed="false">
      <c r="C7" s="12" t="s">
        <v>12</v>
      </c>
      <c r="D7" s="13" t="n">
        <f aca="false">'ODAC-ODAL R'!B4-'ODAC-ODAL R'!C4</f>
        <v>328</v>
      </c>
      <c r="E7" s="14" t="n">
        <f aca="false">'ODAC-ODAL R'!D4</f>
        <v>63</v>
      </c>
      <c r="F7" s="15" t="n">
        <f aca="false">'ODAC-ODAL R'!E4</f>
        <v>217</v>
      </c>
      <c r="G7" s="16" t="n">
        <f aca="false">'ODAC-ODAL R'!H4</f>
        <v>12</v>
      </c>
      <c r="H7" s="15" t="n">
        <f aca="false">'ODAC-ODAL R'!F4</f>
        <v>4</v>
      </c>
      <c r="I7" s="15" t="n">
        <f aca="false">'ODAC-ODAL R'!G4</f>
        <v>32</v>
      </c>
      <c r="J7" s="16"/>
    </row>
    <row r="8" customFormat="false" ht="12.5" hidden="false" customHeight="false" outlineLevel="0" collapsed="false">
      <c r="C8" s="17" t="s">
        <v>13</v>
      </c>
      <c r="D8" s="13" t="n">
        <f aca="false">'ODAC-ODAL R'!B752-'ODAC-ODAL R'!C752</f>
        <v>24</v>
      </c>
      <c r="E8" s="14"/>
      <c r="F8" s="15" t="n">
        <f aca="false">'ODAC-ODAL R'!E752</f>
        <v>10</v>
      </c>
      <c r="G8" s="16" t="n">
        <f aca="false">'ODAC-ODAL R'!H752</f>
        <v>9</v>
      </c>
      <c r="H8" s="15"/>
      <c r="I8" s="15"/>
      <c r="J8" s="16" t="n">
        <f aca="false">'ODAC-ODAL R'!I752</f>
        <v>5</v>
      </c>
    </row>
    <row r="9" customFormat="false" ht="13" hidden="false" customHeight="false" outlineLevel="0" collapsed="false">
      <c r="C9" s="18" t="s">
        <v>14</v>
      </c>
      <c r="D9" s="19" t="n">
        <v>318</v>
      </c>
      <c r="E9" s="20"/>
      <c r="F9" s="21" t="n">
        <f aca="false">D9</f>
        <v>318</v>
      </c>
      <c r="G9" s="22"/>
      <c r="H9" s="23"/>
      <c r="I9" s="23"/>
      <c r="J9" s="22"/>
    </row>
    <row r="10" customFormat="false" ht="13" hidden="false" customHeight="false" outlineLevel="0" collapsed="false">
      <c r="C10" s="24" t="s">
        <v>15</v>
      </c>
      <c r="D10" s="25" t="n">
        <f aca="false">D11</f>
        <v>23264</v>
      </c>
      <c r="E10" s="26" t="n">
        <f aca="false">E11</f>
        <v>347</v>
      </c>
      <c r="F10" s="27" t="n">
        <f aca="false">F11</f>
        <v>13481</v>
      </c>
      <c r="G10" s="28" t="n">
        <f aca="false">G11</f>
        <v>296</v>
      </c>
      <c r="H10" s="29"/>
      <c r="I10" s="30" t="n">
        <f aca="false">I11</f>
        <v>9140</v>
      </c>
      <c r="J10" s="31"/>
    </row>
    <row r="11" customFormat="false" ht="13" hidden="false" customHeight="false" outlineLevel="0" collapsed="false">
      <c r="C11" s="32" t="s">
        <v>12</v>
      </c>
      <c r="D11" s="33" t="n">
        <f aca="false">'ODAC-ODAL R'!B726-'ODAC-ODAL R'!C726</f>
        <v>23264</v>
      </c>
      <c r="E11" s="34" t="n">
        <f aca="false">'ODAC-ODAL R'!D726</f>
        <v>347</v>
      </c>
      <c r="F11" s="35" t="n">
        <f aca="false">'ODAC-ODAL R'!E726</f>
        <v>13481</v>
      </c>
      <c r="G11" s="36" t="n">
        <f aca="false">'ODAC-ODAL R'!H726</f>
        <v>296</v>
      </c>
      <c r="H11" s="34"/>
      <c r="I11" s="35" t="n">
        <f aca="false">'ODAC-ODAL R'!G726</f>
        <v>9140</v>
      </c>
      <c r="J11" s="36"/>
    </row>
    <row r="12" customFormat="false" ht="13.5" hidden="false" customHeight="false" outlineLevel="0" collapsed="false">
      <c r="C12" s="37" t="s">
        <v>16</v>
      </c>
      <c r="D12" s="38" t="n">
        <f aca="false">D5+D10</f>
        <v>24368</v>
      </c>
      <c r="E12" s="39" t="n">
        <f aca="false">E5+E10</f>
        <v>425</v>
      </c>
      <c r="F12" s="40" t="n">
        <f aca="false">F5+F10</f>
        <v>14149</v>
      </c>
      <c r="G12" s="41" t="n">
        <f aca="false">G5+G10</f>
        <v>351</v>
      </c>
      <c r="H12" s="39" t="n">
        <f aca="false">H5+H10</f>
        <v>40</v>
      </c>
      <c r="I12" s="40" t="n">
        <f aca="false">I5+I10</f>
        <v>9398</v>
      </c>
      <c r="J12" s="41" t="n">
        <f aca="false">J5+J10</f>
        <v>5</v>
      </c>
    </row>
  </sheetData>
  <mergeCells count="3">
    <mergeCell ref="D3:D4"/>
    <mergeCell ref="E3:G3"/>
    <mergeCell ref="H3:J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6" activeCellId="0" sqref="Q6"/>
    </sheetView>
  </sheetViews>
  <sheetFormatPr defaultColWidth="11.0546875" defaultRowHeight="13" customHeight="false" zeroHeight="false" outlineLevelRow="0" outlineLevelCol="1"/>
  <cols>
    <col collapsed="false" customWidth="true" hidden="true" outlineLevel="1" max="1" min="1" style="42" width="4.44"/>
    <col collapsed="false" customWidth="true" hidden="false" outlineLevel="0" max="2" min="2" style="42" width="37.17"/>
    <col collapsed="false" customWidth="true" hidden="true" outlineLevel="1" max="3" min="3" style="42" width="4.44"/>
    <col collapsed="false" customWidth="true" hidden="true" outlineLevel="1" max="4" min="4" style="42" width="51.72"/>
    <col collapsed="false" customWidth="true" hidden="false" outlineLevel="0" max="5" min="5" style="0" width="54.17"/>
    <col collapsed="false" customWidth="true" hidden="false" outlineLevel="0" max="6" min="6" style="43" width="8.35"/>
    <col collapsed="false" customWidth="true" hidden="false" outlineLevel="0" max="7" min="7" style="43" width="10.9"/>
    <col collapsed="false" customWidth="true" hidden="true" outlineLevel="1" max="9" min="8" style="43" width="10.9"/>
    <col collapsed="false" customWidth="true" hidden="true" outlineLevel="1" max="12" min="10" style="42" width="10.9"/>
    <col collapsed="false" customWidth="true" hidden="false" outlineLevel="0" max="13" min="13" style="0" width="3.08"/>
    <col collapsed="false" customWidth="true" hidden="false" outlineLevel="0" max="14" min="14" style="0" width="6.35"/>
    <col collapsed="false" customWidth="true" hidden="false" outlineLevel="0" max="15" min="15" style="0" width="7.99"/>
    <col collapsed="false" customWidth="true" hidden="false" outlineLevel="0" max="16" min="16" style="0" width="6.9"/>
    <col collapsed="false" customWidth="true" hidden="false" outlineLevel="0" max="17" min="17" style="0" width="8.62"/>
    <col collapsed="false" customWidth="true" hidden="false" outlineLevel="0" max="18" min="18" style="0" width="7.9"/>
  </cols>
  <sheetData>
    <row r="1" customFormat="false" ht="13.5" hidden="false" customHeight="false" outlineLevel="0" collapsed="false">
      <c r="M1" s="44"/>
    </row>
    <row r="2" customFormat="false" ht="29.5" hidden="false" customHeight="true" outlineLevel="0" collapsed="false">
      <c r="A2" s="45" t="s">
        <v>17</v>
      </c>
      <c r="B2" s="45" t="s">
        <v>18</v>
      </c>
      <c r="C2" s="45" t="s">
        <v>19</v>
      </c>
      <c r="D2" s="45" t="s">
        <v>20</v>
      </c>
      <c r="E2" s="46" t="s">
        <v>21</v>
      </c>
      <c r="F2" s="47" t="s">
        <v>22</v>
      </c>
      <c r="G2" s="47" t="s">
        <v>23</v>
      </c>
      <c r="H2" s="47" t="s">
        <v>24</v>
      </c>
      <c r="I2" s="47" t="s">
        <v>25</v>
      </c>
      <c r="J2" s="45" t="s">
        <v>26</v>
      </c>
      <c r="K2" s="45" t="s">
        <v>27</v>
      </c>
      <c r="L2" s="45" t="s">
        <v>28</v>
      </c>
      <c r="N2" s="48" t="s">
        <v>29</v>
      </c>
      <c r="O2" s="49" t="s">
        <v>5</v>
      </c>
      <c r="P2" s="49" t="s">
        <v>30</v>
      </c>
      <c r="Q2" s="49" t="s">
        <v>31</v>
      </c>
      <c r="R2" s="49" t="s">
        <v>32</v>
      </c>
    </row>
    <row r="3" customFormat="false" ht="13.5" hidden="false" customHeight="false" outlineLevel="0" collapsed="false">
      <c r="A3" s="45"/>
      <c r="B3" s="45"/>
      <c r="C3" s="45"/>
      <c r="D3" s="45"/>
      <c r="E3" s="50" t="s">
        <v>33</v>
      </c>
      <c r="F3" s="51" t="n">
        <f aca="false">SUM(F5:F184)</f>
        <v>434</v>
      </c>
      <c r="G3" s="51"/>
      <c r="H3" s="51"/>
      <c r="I3" s="51"/>
      <c r="J3" s="52"/>
      <c r="K3" s="52"/>
      <c r="L3" s="52"/>
      <c r="N3" s="53" t="n">
        <f aca="false">SUMIFS($F5:$F184,N5:N184,"X")</f>
        <v>15</v>
      </c>
      <c r="O3" s="53" t="n">
        <f aca="false">SUMIFS($F5:$F184,O5:O184,"X")</f>
        <v>123</v>
      </c>
      <c r="P3" s="53" t="n">
        <f aca="false">SUMIFS($F5:$F184,P5:P184,"X")</f>
        <v>36</v>
      </c>
      <c r="Q3" s="53" t="n">
        <f aca="false">SUMIFS($F5:$F184,Q5:Q184,"X")</f>
        <v>226</v>
      </c>
      <c r="R3" s="53" t="n">
        <f aca="false">SUMIFS($F5:$F184,R5:R184,"X")</f>
        <v>34</v>
      </c>
      <c r="S3" s="54"/>
    </row>
    <row r="4" customFormat="false" ht="13.5" hidden="false" customHeight="false" outlineLevel="0" collapsed="false">
      <c r="A4" s="45"/>
      <c r="B4" s="45"/>
      <c r="C4" s="45"/>
      <c r="D4" s="45"/>
      <c r="G4" s="51" t="n">
        <f aca="false">H4+I4</f>
        <v>479514</v>
      </c>
      <c r="H4" s="51" t="n">
        <v>402456</v>
      </c>
      <c r="I4" s="51" t="n">
        <v>77058</v>
      </c>
      <c r="J4" s="52" t="n">
        <f aca="false">K4+L4</f>
        <v>478026</v>
      </c>
      <c r="K4" s="52" t="n">
        <v>401310</v>
      </c>
      <c r="L4" s="52" t="n">
        <v>76716</v>
      </c>
      <c r="N4" s="51" t="n">
        <f aca="false">SUMIFS($G5:$G184,N5:N184,"X")</f>
        <v>10476</v>
      </c>
      <c r="O4" s="51" t="n">
        <f aca="false">SUMIFS($G5:$G184,O5:O184,"X")</f>
        <v>99885</v>
      </c>
      <c r="P4" s="51" t="n">
        <f aca="false">SUMIFS($G5:$G184,P5:P184,"X")</f>
        <v>25039</v>
      </c>
      <c r="Q4" s="51" t="n">
        <f aca="false">SUMIFS($G5:$G184,Q5:Q184,"X")</f>
        <v>326723</v>
      </c>
      <c r="R4" s="51" t="n">
        <f aca="false">SUMIFS($G5:$G184,R5:R184,"X")</f>
        <v>17391</v>
      </c>
      <c r="S4" s="54" t="s">
        <v>34</v>
      </c>
    </row>
    <row r="5" customFormat="false" ht="13.5" hidden="false" customHeight="false" outlineLevel="0" collapsed="false">
      <c r="A5" s="55" t="str">
        <f aca="false">_xlfn.XLOOKUP(C5,'Annexe Etat'!$I$2:$I$164,'Annexe Etat'!$H$2:$H$164)</f>
        <v>RA</v>
      </c>
      <c r="B5" s="55" t="str">
        <f aca="false">_xlfn.XLOOKUP(A5,'Annexe Etat'!$A$2:$A$164,'Annexe Etat'!$B$2:$B$164)</f>
        <v>Recherche et enseignement supérieur</v>
      </c>
      <c r="C5" s="56" t="n">
        <v>172</v>
      </c>
      <c r="D5" s="55" t="str">
        <f aca="false">_xlfn.XLOOKUP(C5,'Annexe Etat'!$I$2:$I$164,'Annexe Etat'!$J$2:$J$164)</f>
        <v>Recherches scientifiques et technologiques pluridisciplinaires</v>
      </c>
      <c r="E5" s="57" t="s">
        <v>35</v>
      </c>
      <c r="F5" s="58" t="n">
        <v>1</v>
      </c>
      <c r="G5" s="58" t="n">
        <f aca="false">H5+I5</f>
        <v>10</v>
      </c>
      <c r="H5" s="58" t="n">
        <v>9</v>
      </c>
      <c r="I5" s="58" t="n">
        <v>1</v>
      </c>
      <c r="J5" s="59" t="n">
        <f aca="false">K5+L5</f>
        <v>9</v>
      </c>
      <c r="K5" s="59" t="n">
        <v>9</v>
      </c>
      <c r="L5" s="59" t="n">
        <v>0</v>
      </c>
      <c r="O5" s="0" t="s">
        <v>36</v>
      </c>
    </row>
    <row r="6" customFormat="false" ht="25.5" hidden="false" customHeight="false" outlineLevel="0" collapsed="false">
      <c r="A6" s="55" t="str">
        <f aca="false">_xlfn.XLOOKUP(C6,'Annexe Etat'!$I$2:$I$164,'Annexe Etat'!$H$2:$H$164)</f>
        <v>AB</v>
      </c>
      <c r="B6" s="55" t="str">
        <f aca="false">_xlfn.XLOOKUP(A6,'Annexe Etat'!$A$2:$A$164,'Annexe Etat'!$B$2:$B$164)</f>
        <v>Administration générale et territoriale de l'État</v>
      </c>
      <c r="C6" s="56" t="n">
        <v>216</v>
      </c>
      <c r="D6" s="55" t="str">
        <f aca="false">_xlfn.XLOOKUP(C6,'Annexe Etat'!$I$2:$I$164,'Annexe Etat'!$J$2:$J$164)</f>
        <v>Conduite et pilotage des politiques de l'intérieur</v>
      </c>
      <c r="E6" s="57" t="s">
        <v>37</v>
      </c>
      <c r="F6" s="58" t="n">
        <v>1</v>
      </c>
      <c r="G6" s="58" t="n">
        <f aca="false">H6+I6</f>
        <v>81</v>
      </c>
      <c r="H6" s="58" t="n">
        <v>76</v>
      </c>
      <c r="I6" s="58" t="n">
        <v>5</v>
      </c>
      <c r="J6" s="59" t="n">
        <f aca="false">K6+L6</f>
        <v>101</v>
      </c>
      <c r="K6" s="59" t="n">
        <v>98</v>
      </c>
      <c r="L6" s="59" t="n">
        <v>3</v>
      </c>
      <c r="R6" s="0" t="s">
        <v>36</v>
      </c>
    </row>
    <row r="7" customFormat="false" ht="13.5" hidden="false" customHeight="false" outlineLevel="0" collapsed="false">
      <c r="A7" s="55" t="str">
        <f aca="false">_xlfn.XLOOKUP(C7,'Annexe Etat'!$I$2:$I$164,'Annexe Etat'!$H$2:$H$164)</f>
        <v>TA</v>
      </c>
      <c r="B7" s="55" t="str">
        <f aca="false">_xlfn.XLOOKUP(A7,'Annexe Etat'!$A$2:$A$164,'Annexe Etat'!$B$2:$B$164)</f>
        <v>Écologie, développement et mobilité durables</v>
      </c>
      <c r="C7" s="56" t="n">
        <v>181</v>
      </c>
      <c r="D7" s="55" t="str">
        <f aca="false">_xlfn.XLOOKUP(C7,'Annexe Etat'!$I$2:$I$164,'Annexe Etat'!$J$2:$J$164)</f>
        <v>Prévention des risques</v>
      </c>
      <c r="E7" s="57" t="s">
        <v>38</v>
      </c>
      <c r="F7" s="58" t="n">
        <v>1</v>
      </c>
      <c r="G7" s="60" t="n">
        <f aca="false">H7+I7</f>
        <v>1334</v>
      </c>
      <c r="H7" s="60" t="n">
        <v>1069</v>
      </c>
      <c r="I7" s="58" t="n">
        <v>265</v>
      </c>
      <c r="J7" s="61" t="n">
        <f aca="false">K7+L7</f>
        <v>1330</v>
      </c>
      <c r="K7" s="61" t="n">
        <v>1070</v>
      </c>
      <c r="L7" s="59" t="n">
        <v>260</v>
      </c>
      <c r="O7" s="0" t="s">
        <v>36</v>
      </c>
    </row>
    <row r="8" customFormat="false" ht="13.5" hidden="false" customHeight="false" outlineLevel="0" collapsed="false">
      <c r="A8" s="55" t="str">
        <f aca="false">_xlfn.XLOOKUP(C8,'Annexe Etat'!$I$2:$I$164,'Annexe Etat'!$H$2:$H$164)</f>
        <v>AA</v>
      </c>
      <c r="B8" s="55" t="str">
        <f aca="false">_xlfn.XLOOKUP(A8,'Annexe Etat'!$A$2:$A$164,'Annexe Etat'!$B$2:$B$164)</f>
        <v>Action extérieure de l'État</v>
      </c>
      <c r="C8" s="56" t="n">
        <v>185</v>
      </c>
      <c r="D8" s="55" t="str">
        <f aca="false">_xlfn.XLOOKUP(C8,'Annexe Etat'!$I$2:$I$164,'Annexe Etat'!$J$2:$J$164)</f>
        <v>Diplomatie culturelle et d'influence</v>
      </c>
      <c r="E8" s="57" t="s">
        <v>39</v>
      </c>
      <c r="F8" s="58" t="n">
        <v>1</v>
      </c>
      <c r="G8" s="60" t="n">
        <f aca="false">H8+I8</f>
        <v>10740</v>
      </c>
      <c r="H8" s="60" t="n">
        <v>5579</v>
      </c>
      <c r="I8" s="60" t="n">
        <v>5161</v>
      </c>
      <c r="J8" s="61" t="n">
        <f aca="false">K8+L8</f>
        <v>10722</v>
      </c>
      <c r="K8" s="61" t="n">
        <v>5561</v>
      </c>
      <c r="L8" s="61" t="n">
        <v>5161</v>
      </c>
      <c r="Q8" s="0" t="s">
        <v>36</v>
      </c>
    </row>
    <row r="9" customFormat="false" ht="25.5" hidden="false" customHeight="false" outlineLevel="0" collapsed="false">
      <c r="A9" s="55" t="str">
        <f aca="false">_xlfn.XLOOKUP(C9,'Annexe Etat'!$I$2:$I$164,'Annexe Etat'!$H$2:$H$164)</f>
        <v>TA</v>
      </c>
      <c r="B9" s="55" t="str">
        <f aca="false">_xlfn.XLOOKUP(A9,'Annexe Etat'!$A$2:$A$164,'Annexe Etat'!$B$2:$B$164)</f>
        <v>Écologie, développement et mobilité durables</v>
      </c>
      <c r="C9" s="56" t="n">
        <v>203</v>
      </c>
      <c r="D9" s="55" t="str">
        <f aca="false">_xlfn.XLOOKUP(C9,'Annexe Etat'!$I$2:$I$164,'Annexe Etat'!$J$2:$J$164)</f>
        <v>Infrastructures et services de transports</v>
      </c>
      <c r="E9" s="57" t="s">
        <v>40</v>
      </c>
      <c r="F9" s="58" t="n">
        <v>1</v>
      </c>
      <c r="G9" s="58" t="n">
        <f aca="false">H9+I9</f>
        <v>0</v>
      </c>
      <c r="H9" s="58" t="n">
        <v>0</v>
      </c>
      <c r="I9" s="58" t="n">
        <v>0</v>
      </c>
      <c r="J9" s="59" t="n">
        <f aca="false">K9+L9</f>
        <v>0</v>
      </c>
      <c r="K9" s="59" t="n">
        <v>0</v>
      </c>
      <c r="L9" s="59" t="n">
        <v>0</v>
      </c>
      <c r="O9" s="0" t="s">
        <v>36</v>
      </c>
    </row>
    <row r="10" customFormat="false" ht="25.5" hidden="false" customHeight="false" outlineLevel="0" collapsed="false">
      <c r="A10" s="55" t="str">
        <f aca="false">_xlfn.XLOOKUP(C10,'Annexe Etat'!$I$2:$I$164,'Annexe Etat'!$H$2:$H$164)</f>
        <v>TB</v>
      </c>
      <c r="B10" s="55" t="str">
        <f aca="false">_xlfn.XLOOKUP(A10,'Annexe Etat'!$A$2:$A$164,'Annexe Etat'!$B$2:$B$164)</f>
        <v>Travail, emploi et administration des ministères sociaux</v>
      </c>
      <c r="C10" s="56" t="n">
        <v>103</v>
      </c>
      <c r="D10" s="55" t="str">
        <f aca="false">_xlfn.XLOOKUP(C10,'Annexe Etat'!$I$2:$I$164,'Annexe Etat'!$J$2:$J$164)</f>
        <v>Accompagnement des mutations économiques et développement de l'emploi</v>
      </c>
      <c r="E10" s="57" t="s">
        <v>41</v>
      </c>
      <c r="F10" s="58" t="n">
        <v>1</v>
      </c>
      <c r="G10" s="60" t="n">
        <f aca="false">H10+I10</f>
        <v>5330</v>
      </c>
      <c r="H10" s="60" t="n">
        <v>5330</v>
      </c>
      <c r="I10" s="58" t="n">
        <v>0</v>
      </c>
      <c r="J10" s="59" t="n">
        <f aca="false">K10+L10</f>
        <v>4824</v>
      </c>
      <c r="K10" s="59" t="n">
        <v>4824</v>
      </c>
      <c r="L10" s="59" t="n">
        <v>0</v>
      </c>
      <c r="O10" s="0" t="s">
        <v>36</v>
      </c>
    </row>
    <row r="11" customFormat="false" ht="13.5" hidden="false" customHeight="false" outlineLevel="0" collapsed="false">
      <c r="A11" s="55" t="str">
        <f aca="false">_xlfn.XLOOKUP(C11,'Annexe Etat'!$I$2:$I$164,'Annexe Etat'!$H$2:$H$164)</f>
        <v>CB</v>
      </c>
      <c r="B11" s="55" t="str">
        <f aca="false">_xlfn.XLOOKUP(A11,'Annexe Etat'!$A$2:$A$164,'Annexe Etat'!$B$2:$B$164)</f>
        <v>Culture</v>
      </c>
      <c r="C11" s="56" t="n">
        <v>131</v>
      </c>
      <c r="D11" s="55" t="str">
        <f aca="false">_xlfn.XLOOKUP(C11,'Annexe Etat'!$I$2:$I$164,'Annexe Etat'!$J$2:$J$164)</f>
        <v>Création</v>
      </c>
      <c r="E11" s="57" t="s">
        <v>42</v>
      </c>
      <c r="F11" s="58" t="n">
        <v>1</v>
      </c>
      <c r="G11" s="58" t="n">
        <f aca="false">H11+I11</f>
        <v>47</v>
      </c>
      <c r="H11" s="58" t="n">
        <v>47</v>
      </c>
      <c r="I11" s="58" t="n">
        <v>0</v>
      </c>
      <c r="J11" s="59" t="n">
        <f aca="false">K11+L11</f>
        <v>47</v>
      </c>
      <c r="K11" s="59" t="n">
        <v>47</v>
      </c>
      <c r="L11" s="59" t="n">
        <v>0</v>
      </c>
      <c r="P11" s="0" t="s">
        <v>36</v>
      </c>
    </row>
    <row r="12" customFormat="false" ht="13.5" hidden="false" customHeight="false" outlineLevel="0" collapsed="false">
      <c r="A12" s="55" t="str">
        <f aca="false">_xlfn.XLOOKUP(C12,'Annexe Etat'!$I$2:$I$164,'Annexe Etat'!$H$2:$H$164)</f>
        <v>TA</v>
      </c>
      <c r="B12" s="55" t="str">
        <f aca="false">_xlfn.XLOOKUP(A12,'Annexe Etat'!$A$2:$A$164,'Annexe Etat'!$B$2:$B$164)</f>
        <v>Écologie, développement et mobilité durables</v>
      </c>
      <c r="C12" s="62" t="n">
        <v>113</v>
      </c>
      <c r="D12" s="55" t="str">
        <f aca="false">_xlfn.XLOOKUP(C12,'Annexe Etat'!$I$2:$I$164,'Annexe Etat'!$J$2:$J$164)</f>
        <v>Paysages, eau et biodiversité</v>
      </c>
      <c r="E12" s="57" t="s">
        <v>43</v>
      </c>
      <c r="F12" s="60" t="n">
        <v>6</v>
      </c>
      <c r="G12" s="60" t="n">
        <f aca="false">H12+I12</f>
        <v>1575</v>
      </c>
      <c r="H12" s="60" t="n">
        <v>1551</v>
      </c>
      <c r="I12" s="58" t="n">
        <v>24</v>
      </c>
      <c r="J12" s="61" t="n">
        <f aca="false">K12+L12</f>
        <v>1562</v>
      </c>
      <c r="K12" s="61" t="n">
        <v>1539</v>
      </c>
      <c r="L12" s="59" t="n">
        <v>23</v>
      </c>
      <c r="O12" s="0" t="s">
        <v>36</v>
      </c>
    </row>
    <row r="13" customFormat="false" ht="25.5" hidden="false" customHeight="false" outlineLevel="0" collapsed="false">
      <c r="A13" s="55" t="str">
        <f aca="false">_xlfn.XLOOKUP(C13,'Annexe Etat'!$I$2:$I$164,'Annexe Etat'!$H$2:$H$164)</f>
        <v>JA</v>
      </c>
      <c r="B13" s="55" t="str">
        <f aca="false">_xlfn.XLOOKUP(A13,'Annexe Etat'!$A$2:$A$164,'Annexe Etat'!$B$2:$B$164)</f>
        <v>Justice</v>
      </c>
      <c r="C13" s="56" t="n">
        <v>310</v>
      </c>
      <c r="D13" s="55" t="str">
        <f aca="false">_xlfn.XLOOKUP(C13,'Annexe Etat'!$I$2:$I$164,'Annexe Etat'!$J$2:$J$164)</f>
        <v>Conduite et pilotage de la politique de la justice</v>
      </c>
      <c r="E13" s="57" t="s">
        <v>44</v>
      </c>
      <c r="F13" s="58" t="n">
        <v>1</v>
      </c>
      <c r="G13" s="58" t="n">
        <f aca="false">H13+I13</f>
        <v>69</v>
      </c>
      <c r="H13" s="58" t="n">
        <v>69</v>
      </c>
      <c r="I13" s="58" t="n">
        <v>0</v>
      </c>
      <c r="J13" s="59" t="n">
        <f aca="false">K13+L13</f>
        <v>69</v>
      </c>
      <c r="K13" s="59" t="n">
        <v>69</v>
      </c>
      <c r="L13" s="59" t="n">
        <v>0</v>
      </c>
      <c r="R13" s="0" t="s">
        <v>36</v>
      </c>
    </row>
    <row r="14" customFormat="false" ht="25.5" hidden="false" customHeight="false" outlineLevel="0" collapsed="false">
      <c r="A14" s="55" t="str">
        <f aca="false">_xlfn.XLOOKUP(C14,'Annexe Etat'!$I$2:$I$164,'Annexe Etat'!$H$2:$H$164)</f>
        <v>TB</v>
      </c>
      <c r="B14" s="55" t="str">
        <f aca="false">_xlfn.XLOOKUP(A14,'Annexe Etat'!$A$2:$A$164,'Annexe Etat'!$B$2:$B$164)</f>
        <v>Travail, emploi et administration des ministères sociaux</v>
      </c>
      <c r="C14" s="56" t="n">
        <v>111</v>
      </c>
      <c r="D14" s="55" t="str">
        <f aca="false">_xlfn.XLOOKUP(C14,'Annexe Etat'!$I$2:$I$164,'Annexe Etat'!$J$2:$J$164)</f>
        <v>Amélioration de la qualité de l'emploi et des relations du travail</v>
      </c>
      <c r="E14" s="57" t="s">
        <v>45</v>
      </c>
      <c r="F14" s="58" t="n">
        <v>1</v>
      </c>
      <c r="G14" s="58" t="n">
        <f aca="false">H14+I14</f>
        <v>290</v>
      </c>
      <c r="H14" s="58" t="n">
        <v>265</v>
      </c>
      <c r="I14" s="58" t="n">
        <v>25</v>
      </c>
      <c r="J14" s="59" t="n">
        <f aca="false">K14+L14</f>
        <v>290</v>
      </c>
      <c r="K14" s="59" t="n">
        <v>265</v>
      </c>
      <c r="L14" s="59" t="n">
        <v>25</v>
      </c>
      <c r="O14" s="0" t="s">
        <v>36</v>
      </c>
    </row>
    <row r="15" customFormat="false" ht="13.5" hidden="false" customHeight="false" outlineLevel="0" collapsed="false">
      <c r="A15" s="55" t="str">
        <f aca="false">_xlfn.XLOOKUP(C15,'Annexe Etat'!$I$2:$I$164,'Annexe Etat'!$H$2:$H$164)</f>
        <v>VA</v>
      </c>
      <c r="B15" s="55" t="str">
        <f aca="false">_xlfn.XLOOKUP(A15,'Annexe Etat'!$A$2:$A$164,'Annexe Etat'!$B$2:$B$164)</f>
        <v>Cohésion des territoires</v>
      </c>
      <c r="C15" s="56" t="n">
        <v>135</v>
      </c>
      <c r="D15" s="55" t="str">
        <f aca="false">_xlfn.XLOOKUP(C15,'Annexe Etat'!$I$2:$I$164,'Annexe Etat'!$J$2:$J$164)</f>
        <v>Urbanisme, territoires et amélioration de l'habitat</v>
      </c>
      <c r="E15" s="57" t="s">
        <v>46</v>
      </c>
      <c r="F15" s="58" t="n">
        <v>1</v>
      </c>
      <c r="G15" s="58" t="n">
        <f aca="false">H15+I15</f>
        <v>285</v>
      </c>
      <c r="H15" s="58" t="n">
        <v>285</v>
      </c>
      <c r="I15" s="58" t="n">
        <v>0</v>
      </c>
      <c r="J15" s="59" t="n">
        <f aca="false">K15+L15</f>
        <v>287</v>
      </c>
      <c r="K15" s="59" t="n">
        <v>287</v>
      </c>
      <c r="L15" s="59" t="n">
        <v>0</v>
      </c>
      <c r="O15" s="0" t="s">
        <v>36</v>
      </c>
    </row>
    <row r="16" customFormat="false" ht="13.5" hidden="false" customHeight="false" outlineLevel="0" collapsed="false">
      <c r="A16" s="55" t="str">
        <f aca="false">_xlfn.XLOOKUP(C16,'Annexe Etat'!$I$2:$I$164,'Annexe Etat'!$H$2:$H$164)</f>
        <v>VA</v>
      </c>
      <c r="B16" s="55" t="str">
        <f aca="false">_xlfn.XLOOKUP(A16,'Annexe Etat'!$A$2:$A$164,'Annexe Etat'!$B$2:$B$164)</f>
        <v>Cohésion des territoires</v>
      </c>
      <c r="C16" s="56" t="n">
        <v>135</v>
      </c>
      <c r="D16" s="55" t="str">
        <f aca="false">_xlfn.XLOOKUP(C16,'Annexe Etat'!$I$2:$I$164,'Annexe Etat'!$J$2:$J$164)</f>
        <v>Urbanisme, territoires et amélioration de l'habitat</v>
      </c>
      <c r="E16" s="57" t="s">
        <v>47</v>
      </c>
      <c r="F16" s="58" t="n">
        <v>1</v>
      </c>
      <c r="G16" s="58" t="n">
        <f aca="false">H16+I16</f>
        <v>136</v>
      </c>
      <c r="H16" s="58" t="n">
        <v>136</v>
      </c>
      <c r="I16" s="58" t="n">
        <v>0</v>
      </c>
      <c r="J16" s="59" t="n">
        <f aca="false">K16+L16</f>
        <v>133</v>
      </c>
      <c r="K16" s="59" t="n">
        <v>133</v>
      </c>
      <c r="L16" s="59" t="n">
        <v>0</v>
      </c>
      <c r="R16" s="0" t="s">
        <v>36</v>
      </c>
    </row>
    <row r="17" customFormat="false" ht="13.5" hidden="false" customHeight="false" outlineLevel="0" collapsed="false">
      <c r="A17" s="55" t="str">
        <f aca="false">_xlfn.XLOOKUP(C17,'Annexe Etat'!$I$2:$I$164,'Annexe Etat'!$H$2:$H$164)</f>
        <v>VA</v>
      </c>
      <c r="B17" s="55" t="str">
        <f aca="false">_xlfn.XLOOKUP(A17,'Annexe Etat'!$A$2:$A$164,'Annexe Etat'!$B$2:$B$164)</f>
        <v>Cohésion des territoires</v>
      </c>
      <c r="C17" s="56" t="n">
        <v>112</v>
      </c>
      <c r="D17" s="55" t="str">
        <f aca="false">_xlfn.XLOOKUP(C17,'Annexe Etat'!$I$2:$I$164,'Annexe Etat'!$J$2:$J$164)</f>
        <v>Impulsion et coordination de la politique d'aménagement du territoire</v>
      </c>
      <c r="E17" s="57" t="s">
        <v>48</v>
      </c>
      <c r="F17" s="58" t="n">
        <v>1</v>
      </c>
      <c r="G17" s="58" t="n">
        <f aca="false">H17+I17</f>
        <v>358</v>
      </c>
      <c r="H17" s="58" t="n">
        <v>350</v>
      </c>
      <c r="I17" s="58" t="n">
        <v>8</v>
      </c>
      <c r="J17" s="59" t="n">
        <f aca="false">K17+L17</f>
        <v>340</v>
      </c>
      <c r="K17" s="59" t="n">
        <v>320</v>
      </c>
      <c r="L17" s="59" t="n">
        <v>20</v>
      </c>
      <c r="O17" s="0" t="s">
        <v>36</v>
      </c>
    </row>
    <row r="18" customFormat="false" ht="25.5" hidden="false" customHeight="false" outlineLevel="0" collapsed="false">
      <c r="A18" s="55" t="str">
        <f aca="false">_xlfn.XLOOKUP(C18,'Annexe Etat'!$I$2:$I$164,'Annexe Etat'!$H$2:$H$164)</f>
        <v>TA</v>
      </c>
      <c r="B18" s="55" t="str">
        <f aca="false">_xlfn.XLOOKUP(A18,'Annexe Etat'!$A$2:$A$164,'Annexe Etat'!$B$2:$B$164)</f>
        <v>Écologie, développement et mobilité durables</v>
      </c>
      <c r="C18" s="56" t="n">
        <v>174</v>
      </c>
      <c r="D18" s="55" t="str">
        <f aca="false">_xlfn.XLOOKUP(C18,'Annexe Etat'!$I$2:$I$164,'Annexe Etat'!$J$2:$J$164)</f>
        <v>Énergie, climat et après-mines</v>
      </c>
      <c r="E18" s="57" t="s">
        <v>49</v>
      </c>
      <c r="F18" s="58" t="n">
        <v>1</v>
      </c>
      <c r="G18" s="58" t="n">
        <f aca="false">H18+I18</f>
        <v>791</v>
      </c>
      <c r="H18" s="58" t="n">
        <v>263</v>
      </c>
      <c r="I18" s="58" t="n">
        <v>528</v>
      </c>
      <c r="J18" s="59" t="n">
        <f aca="false">K18+L18</f>
        <v>871</v>
      </c>
      <c r="K18" s="59" t="n">
        <v>260</v>
      </c>
      <c r="L18" s="59" t="n">
        <v>611</v>
      </c>
      <c r="R18" s="0" t="s">
        <v>36</v>
      </c>
    </row>
    <row r="19" customFormat="false" ht="13.5" hidden="false" customHeight="false" outlineLevel="0" collapsed="false">
      <c r="A19" s="55" t="str">
        <f aca="false">_xlfn.XLOOKUP(C19,'Annexe Etat'!$I$2:$I$164,'Annexe Etat'!$H$2:$H$164)</f>
        <v>DB</v>
      </c>
      <c r="B19" s="55" t="str">
        <f aca="false">_xlfn.XLOOKUP(A19,'Annexe Etat'!$A$2:$A$164,'Annexe Etat'!$B$2:$B$164)</f>
        <v>Économie</v>
      </c>
      <c r="C19" s="56" t="n">
        <v>134</v>
      </c>
      <c r="D19" s="55" t="str">
        <f aca="false">_xlfn.XLOOKUP(C19,'Annexe Etat'!$I$2:$I$164,'Annexe Etat'!$J$2:$J$164)</f>
        <v>Développement des entreprises et régulations</v>
      </c>
      <c r="E19" s="57" t="s">
        <v>50</v>
      </c>
      <c r="F19" s="58" t="n">
        <v>1</v>
      </c>
      <c r="G19" s="58" t="n">
        <f aca="false">H19+I19</f>
        <v>297</v>
      </c>
      <c r="H19" s="58" t="n">
        <v>292</v>
      </c>
      <c r="I19" s="58" t="n">
        <v>5</v>
      </c>
      <c r="J19" s="59" t="n">
        <f aca="false">K19+L19</f>
        <v>292</v>
      </c>
      <c r="K19" s="59" t="n">
        <v>287</v>
      </c>
      <c r="L19" s="59" t="n">
        <v>5</v>
      </c>
      <c r="R19" s="0" t="s">
        <v>36</v>
      </c>
    </row>
    <row r="20" customFormat="false" ht="25.5" hidden="false" customHeight="false" outlineLevel="0" collapsed="false">
      <c r="A20" s="55" t="str">
        <f aca="false">_xlfn.XLOOKUP(C20,'Annexe Etat'!$I$2:$I$164,'Annexe Etat'!$H$2:$H$164)</f>
        <v>TA</v>
      </c>
      <c r="B20" s="55" t="str">
        <f aca="false">_xlfn.XLOOKUP(A20,'Annexe Etat'!$A$2:$A$164,'Annexe Etat'!$B$2:$B$164)</f>
        <v>Écologie, développement et mobilité durables</v>
      </c>
      <c r="C20" s="56" t="n">
        <v>174</v>
      </c>
      <c r="D20" s="55" t="str">
        <f aca="false">_xlfn.XLOOKUP(C20,'Annexe Etat'!$I$2:$I$164,'Annexe Etat'!$J$2:$J$164)</f>
        <v>Énergie, climat et après-mines</v>
      </c>
      <c r="E20" s="57" t="s">
        <v>51</v>
      </c>
      <c r="F20" s="58" t="n">
        <v>1</v>
      </c>
      <c r="G20" s="58" t="n">
        <f aca="false">H20+I20</f>
        <v>113</v>
      </c>
      <c r="H20" s="58" t="n">
        <v>113</v>
      </c>
      <c r="I20" s="58" t="n">
        <v>0</v>
      </c>
      <c r="J20" s="59" t="n">
        <f aca="false">K20+L20</f>
        <v>112</v>
      </c>
      <c r="K20" s="59" t="n">
        <v>110</v>
      </c>
      <c r="L20" s="59" t="n">
        <v>2</v>
      </c>
      <c r="R20" s="0" t="s">
        <v>36</v>
      </c>
    </row>
    <row r="21" customFormat="false" ht="13.5" hidden="false" customHeight="false" outlineLevel="0" collapsed="false">
      <c r="A21" s="55" t="str">
        <f aca="false">_xlfn.XLOOKUP(C21,'Annexe Etat'!$I$2:$I$164,'Annexe Etat'!$H$2:$H$164)</f>
        <v>RA</v>
      </c>
      <c r="B21" s="55" t="str">
        <f aca="false">_xlfn.XLOOKUP(A21,'Annexe Etat'!$A$2:$A$164,'Annexe Etat'!$B$2:$B$164)</f>
        <v>Recherche et enseignement supérieur</v>
      </c>
      <c r="C21" s="56" t="n">
        <v>172</v>
      </c>
      <c r="D21" s="55" t="str">
        <f aca="false">_xlfn.XLOOKUP(C21,'Annexe Etat'!$I$2:$I$164,'Annexe Etat'!$J$2:$J$164)</f>
        <v>Recherches scientifiques et technologiques pluridisciplinaires</v>
      </c>
      <c r="E21" s="57" t="s">
        <v>52</v>
      </c>
      <c r="F21" s="58" t="n">
        <v>1</v>
      </c>
      <c r="G21" s="58" t="n">
        <f aca="false">H21+I21</f>
        <v>385</v>
      </c>
      <c r="H21" s="58" t="n">
        <v>355</v>
      </c>
      <c r="I21" s="58" t="n">
        <v>30</v>
      </c>
      <c r="J21" s="59" t="n">
        <f aca="false">K21+L21</f>
        <v>398</v>
      </c>
      <c r="K21" s="59" t="n">
        <v>355</v>
      </c>
      <c r="L21" s="59" t="n">
        <v>43</v>
      </c>
      <c r="R21" s="0" t="s">
        <v>36</v>
      </c>
    </row>
    <row r="22" customFormat="false" ht="13.5" hidden="false" customHeight="false" outlineLevel="0" collapsed="false">
      <c r="A22" s="55" t="str">
        <f aca="false">_xlfn.XLOOKUP(C22,'Annexe Etat'!$I$2:$I$164,'Annexe Etat'!$H$2:$H$164)</f>
        <v>SF</v>
      </c>
      <c r="B22" s="55" t="str">
        <f aca="false">_xlfn.XLOOKUP(A22,'Annexe Etat'!$A$2:$A$164,'Annexe Etat'!$B$2:$B$164)</f>
        <v>Sport, jeunesse et vie associative</v>
      </c>
      <c r="C22" s="56" t="n">
        <v>219</v>
      </c>
      <c r="D22" s="55" t="str">
        <f aca="false">_xlfn.XLOOKUP(C22,'Annexe Etat'!$I$2:$I$164,'Annexe Etat'!$J$2:$J$164)</f>
        <v>Sport</v>
      </c>
      <c r="E22" s="57" t="s">
        <v>53</v>
      </c>
      <c r="F22" s="58" t="n">
        <v>1</v>
      </c>
      <c r="G22" s="58" t="n">
        <f aca="false">H22+I22</f>
        <v>71</v>
      </c>
      <c r="H22" s="58" t="n">
        <v>71</v>
      </c>
      <c r="I22" s="58" t="n">
        <v>0</v>
      </c>
      <c r="J22" s="59" t="n">
        <f aca="false">K22+L22</f>
        <v>67</v>
      </c>
      <c r="K22" s="59" t="n">
        <v>67</v>
      </c>
      <c r="L22" s="59" t="n">
        <v>0</v>
      </c>
      <c r="O22" s="0" t="s">
        <v>36</v>
      </c>
    </row>
    <row r="23" customFormat="false" ht="13.5" hidden="false" customHeight="false" outlineLevel="0" collapsed="false">
      <c r="A23" s="55" t="str">
        <f aca="false">_xlfn.XLOOKUP(C23,'Annexe Etat'!$I$2:$I$164,'Annexe Etat'!$H$2:$H$164)</f>
        <v>SB</v>
      </c>
      <c r="B23" s="55" t="str">
        <f aca="false">_xlfn.XLOOKUP(A23,'Annexe Etat'!$A$2:$A$164,'Annexe Etat'!$B$2:$B$164)</f>
        <v>Sécurités</v>
      </c>
      <c r="C23" s="56" t="n">
        <v>161</v>
      </c>
      <c r="D23" s="55" t="str">
        <f aca="false">_xlfn.XLOOKUP(C23,'Annexe Etat'!$I$2:$I$164,'Annexe Etat'!$J$2:$J$164)</f>
        <v>Sécurité civile</v>
      </c>
      <c r="E23" s="57" t="s">
        <v>54</v>
      </c>
      <c r="F23" s="58" t="n">
        <v>1</v>
      </c>
      <c r="G23" s="58" t="n">
        <f aca="false">H23+I23</f>
        <v>27</v>
      </c>
      <c r="H23" s="58" t="n">
        <v>23</v>
      </c>
      <c r="I23" s="58" t="n">
        <v>4</v>
      </c>
      <c r="J23" s="59" t="n">
        <f aca="false">K23+L23</f>
        <v>28</v>
      </c>
      <c r="K23" s="59" t="n">
        <v>23</v>
      </c>
      <c r="L23" s="59" t="n">
        <v>5</v>
      </c>
      <c r="R23" s="0" t="s">
        <v>36</v>
      </c>
    </row>
    <row r="24" customFormat="false" ht="25.5" hidden="false" customHeight="false" outlineLevel="0" collapsed="false">
      <c r="A24" s="55" t="str">
        <f aca="false">_xlfn.XLOOKUP(C24,'Annexe Etat'!$I$2:$I$164,'Annexe Etat'!$H$2:$H$164)</f>
        <v>AC</v>
      </c>
      <c r="B24" s="55" t="str">
        <f aca="false">_xlfn.XLOOKUP(A24,'Annexe Etat'!$A$2:$A$164,'Annexe Etat'!$B$2:$B$164)</f>
        <v>Agriculture, alimentation, forêt et affaires rurales</v>
      </c>
      <c r="C24" s="56" t="n">
        <v>206</v>
      </c>
      <c r="D24" s="55" t="str">
        <f aca="false">_xlfn.XLOOKUP(C24,'Annexe Etat'!$I$2:$I$164,'Annexe Etat'!$J$2:$J$164)</f>
        <v>Sécurité et qualité sanitaires de l'alimentation</v>
      </c>
      <c r="E24" s="57" t="s">
        <v>55</v>
      </c>
      <c r="F24" s="58" t="n">
        <v>1</v>
      </c>
      <c r="G24" s="60" t="n">
        <f aca="false">H24+I24</f>
        <v>1447</v>
      </c>
      <c r="H24" s="60" t="n">
        <v>1327</v>
      </c>
      <c r="I24" s="58" t="n">
        <v>120</v>
      </c>
      <c r="J24" s="61" t="n">
        <f aca="false">K24+L24</f>
        <v>1458</v>
      </c>
      <c r="K24" s="61" t="n">
        <v>1317</v>
      </c>
      <c r="L24" s="59" t="n">
        <v>141</v>
      </c>
      <c r="R24" s="0" t="s">
        <v>36</v>
      </c>
    </row>
    <row r="25" customFormat="false" ht="25.5" hidden="false" customHeight="false" outlineLevel="0" collapsed="false">
      <c r="A25" s="55" t="str">
        <f aca="false">_xlfn.XLOOKUP(C25,'Annexe Etat'!$I$2:$I$164,'Annexe Etat'!$H$2:$H$164)</f>
        <v>YE</v>
      </c>
      <c r="B25" s="55" t="str">
        <f aca="false">_xlfn.XLOOKUP(A25,'Annexe Etat'!$A$2:$A$164,'Annexe Etat'!$B$2:$B$164)</f>
        <v>Contrôle de la circulation et du stationnement routiers</v>
      </c>
      <c r="C25" s="56" t="n">
        <v>753</v>
      </c>
      <c r="D25" s="55" t="str">
        <f aca="false">_xlfn.XLOOKUP(C25,'Annexe Etat'!$I$2:$I$164,'Annexe Etat'!$J$2:$J$164)</f>
        <v>Contrôle et modernisation de la politique de la circulation et du stationnement routiers</v>
      </c>
      <c r="E25" s="57" t="s">
        <v>56</v>
      </c>
      <c r="F25" s="58" t="n">
        <v>1</v>
      </c>
      <c r="G25" s="58" t="n">
        <f aca="false">H25+I25</f>
        <v>76</v>
      </c>
      <c r="H25" s="58" t="n">
        <v>61</v>
      </c>
      <c r="I25" s="58" t="n">
        <v>15</v>
      </c>
      <c r="J25" s="59" t="n">
        <f aca="false">K25+L25</f>
        <v>76</v>
      </c>
      <c r="K25" s="59" t="n">
        <v>61</v>
      </c>
      <c r="L25" s="59" t="n">
        <v>15</v>
      </c>
      <c r="R25" s="0" t="s">
        <v>36</v>
      </c>
    </row>
    <row r="26" customFormat="false" ht="13.5" hidden="false" customHeight="false" outlineLevel="0" collapsed="false">
      <c r="A26" s="55" t="str">
        <f aca="false">_xlfn.XLOOKUP(C26,'Annexe Etat'!$I$2:$I$164,'Annexe Etat'!$H$2:$H$164)</f>
        <v>AB</v>
      </c>
      <c r="B26" s="55" t="str">
        <f aca="false">_xlfn.XLOOKUP(A26,'Annexe Etat'!$A$2:$A$164,'Annexe Etat'!$B$2:$B$164)</f>
        <v>Administration générale et territoriale de l'État</v>
      </c>
      <c r="C26" s="56" t="n">
        <v>354</v>
      </c>
      <c r="D26" s="55" t="str">
        <f aca="false">_xlfn.XLOOKUP(C26,'Annexe Etat'!$I$2:$I$164,'Annexe Etat'!$J$2:$J$164)</f>
        <v>Administration territoriale de l'État</v>
      </c>
      <c r="E26" s="57" t="s">
        <v>57</v>
      </c>
      <c r="F26" s="58" t="n">
        <v>1</v>
      </c>
      <c r="G26" s="58" t="n">
        <f aca="false">H26+I26</f>
        <v>171</v>
      </c>
      <c r="H26" s="58" t="n">
        <v>163</v>
      </c>
      <c r="I26" s="58" t="n">
        <v>8</v>
      </c>
      <c r="J26" s="59" t="n">
        <f aca="false">K26+L26</f>
        <v>171</v>
      </c>
      <c r="K26" s="59" t="n">
        <v>163</v>
      </c>
      <c r="L26" s="59" t="n">
        <v>8</v>
      </c>
      <c r="R26" s="0" t="s">
        <v>36</v>
      </c>
    </row>
    <row r="27" customFormat="false" ht="13.5" hidden="false" customHeight="false" outlineLevel="0" collapsed="false">
      <c r="A27" s="55" t="str">
        <f aca="false">_xlfn.XLOOKUP(C27,'Annexe Etat'!$I$2:$I$164,'Annexe Etat'!$H$2:$H$164)</f>
        <v>JA</v>
      </c>
      <c r="B27" s="55" t="str">
        <f aca="false">_xlfn.XLOOKUP(A27,'Annexe Etat'!$A$2:$A$164,'Annexe Etat'!$B$2:$B$164)</f>
        <v>Justice</v>
      </c>
      <c r="C27" s="56" t="n">
        <v>310</v>
      </c>
      <c r="D27" s="55" t="str">
        <f aca="false">_xlfn.XLOOKUP(C27,'Annexe Etat'!$I$2:$I$164,'Annexe Etat'!$J$2:$J$164)</f>
        <v>Conduite et pilotage de la politique de la justice</v>
      </c>
      <c r="E27" s="57" t="s">
        <v>58</v>
      </c>
      <c r="F27" s="58" t="n">
        <v>1</v>
      </c>
      <c r="G27" s="58" t="n">
        <f aca="false">H27+I27</f>
        <v>169</v>
      </c>
      <c r="H27" s="58" t="n">
        <v>164</v>
      </c>
      <c r="I27" s="58" t="n">
        <v>5</v>
      </c>
      <c r="J27" s="59" t="n">
        <f aca="false">K27+L27</f>
        <v>169</v>
      </c>
      <c r="K27" s="59" t="n">
        <v>164</v>
      </c>
      <c r="L27" s="59" t="n">
        <v>5</v>
      </c>
      <c r="O27" s="0" t="s">
        <v>36</v>
      </c>
    </row>
    <row r="28" customFormat="false" ht="13.5" hidden="false" customHeight="false" outlineLevel="0" collapsed="false">
      <c r="A28" s="55" t="str">
        <f aca="false">_xlfn.XLOOKUP(C28,'Annexe Etat'!$I$2:$I$164,'Annexe Etat'!$H$2:$H$164)</f>
        <v>TB</v>
      </c>
      <c r="B28" s="55" t="str">
        <f aca="false">_xlfn.XLOOKUP(A28,'Annexe Etat'!$A$2:$A$164,'Annexe Etat'!$B$2:$B$164)</f>
        <v>Travail, emploi et administration des ministères sociaux</v>
      </c>
      <c r="C28" s="62" t="n">
        <v>155</v>
      </c>
      <c r="D28" s="55" t="str">
        <f aca="false">_xlfn.XLOOKUP(C28,'Annexe Etat'!$I$2:$I$164,'Annexe Etat'!$J$2:$J$164)</f>
        <v>Soutien des ministères sociaux</v>
      </c>
      <c r="E28" s="57" t="s">
        <v>59</v>
      </c>
      <c r="F28" s="60" t="n">
        <v>18</v>
      </c>
      <c r="G28" s="60" t="n">
        <f aca="false">H28+I28</f>
        <v>8273</v>
      </c>
      <c r="H28" s="60" t="n">
        <v>8273</v>
      </c>
      <c r="I28" s="58" t="n">
        <v>0</v>
      </c>
      <c r="J28" s="61" t="n">
        <f aca="false">K28+L28</f>
        <v>8114</v>
      </c>
      <c r="K28" s="61" t="n">
        <v>8114</v>
      </c>
      <c r="L28" s="59" t="n">
        <v>0</v>
      </c>
      <c r="O28" s="0" t="s">
        <v>36</v>
      </c>
    </row>
    <row r="29" customFormat="false" ht="13.5" hidden="false" customHeight="false" outlineLevel="0" collapsed="false">
      <c r="A29" s="55" t="str">
        <f aca="false">_xlfn.XLOOKUP(C29,'Annexe Etat'!$I$2:$I$164,'Annexe Etat'!$H$2:$H$164)</f>
        <v>SF</v>
      </c>
      <c r="B29" s="55" t="str">
        <f aca="false">_xlfn.XLOOKUP(A29,'Annexe Etat'!$A$2:$A$164,'Annexe Etat'!$B$2:$B$164)</f>
        <v>Sport, jeunesse et vie associative</v>
      </c>
      <c r="C29" s="56" t="n">
        <v>163</v>
      </c>
      <c r="D29" s="55" t="str">
        <f aca="false">_xlfn.XLOOKUP(C29,'Annexe Etat'!$I$2:$I$164,'Annexe Etat'!$J$2:$J$164)</f>
        <v>Jeunesse et vie associative</v>
      </c>
      <c r="E29" s="57" t="s">
        <v>60</v>
      </c>
      <c r="F29" s="58" t="n">
        <v>1</v>
      </c>
      <c r="G29" s="58" t="n">
        <f aca="false">H29+I29</f>
        <v>126</v>
      </c>
      <c r="H29" s="58" t="n">
        <v>69</v>
      </c>
      <c r="I29" s="58" t="n">
        <v>57</v>
      </c>
      <c r="J29" s="59" t="n">
        <f aca="false">K29+L29</f>
        <v>131</v>
      </c>
      <c r="K29" s="59" t="n">
        <v>69</v>
      </c>
      <c r="L29" s="59" t="n">
        <v>62</v>
      </c>
      <c r="O29" s="0" t="s">
        <v>36</v>
      </c>
    </row>
    <row r="30" customFormat="false" ht="13.5" hidden="false" customHeight="false" outlineLevel="0" collapsed="false">
      <c r="A30" s="55" t="str">
        <f aca="false">_xlfn.XLOOKUP(C30,'Annexe Etat'!$I$2:$I$164,'Annexe Etat'!$H$2:$H$164)</f>
        <v>AC</v>
      </c>
      <c r="B30" s="55" t="str">
        <f aca="false">_xlfn.XLOOKUP(A30,'Annexe Etat'!$A$2:$A$164,'Annexe Etat'!$B$2:$B$164)</f>
        <v>Agriculture, alimentation, forêt et affaires rurales</v>
      </c>
      <c r="C30" s="62" t="n">
        <v>149</v>
      </c>
      <c r="D30" s="55" t="str">
        <f aca="false">_xlfn.XLOOKUP(C30,'Annexe Etat'!$I$2:$I$164,'Annexe Etat'!$J$2:$J$164)</f>
        <v>Compétitivité et durabilité de l'agriculture, de l'agroalimentaire et de la forêt</v>
      </c>
      <c r="E30" s="57" t="s">
        <v>61</v>
      </c>
      <c r="F30" s="58" t="n">
        <v>1</v>
      </c>
      <c r="G30" s="60" t="n">
        <f aca="false">H30+I30</f>
        <v>2027</v>
      </c>
      <c r="H30" s="60" t="n">
        <v>1786</v>
      </c>
      <c r="I30" s="58" t="n">
        <v>241</v>
      </c>
      <c r="J30" s="61" t="n">
        <f aca="false">K30+L30</f>
        <v>2063</v>
      </c>
      <c r="K30" s="61" t="n">
        <v>1773</v>
      </c>
      <c r="L30" s="59" t="n">
        <v>290</v>
      </c>
      <c r="R30" s="0" t="s">
        <v>36</v>
      </c>
    </row>
    <row r="31" customFormat="false" ht="25.5" hidden="false" customHeight="false" outlineLevel="0" collapsed="false">
      <c r="A31" s="55" t="str">
        <f aca="false">_xlfn.XLOOKUP(C31,'Annexe Etat'!$I$2:$I$164,'Annexe Etat'!$H$2:$H$164)</f>
        <v>RA</v>
      </c>
      <c r="B31" s="55" t="str">
        <f aca="false">_xlfn.XLOOKUP(A31,'Annexe Etat'!$A$2:$A$164,'Annexe Etat'!$B$2:$B$164)</f>
        <v>Recherche et enseignement supérieur</v>
      </c>
      <c r="C31" s="56" t="n">
        <v>142</v>
      </c>
      <c r="D31" s="55" t="str">
        <f aca="false">_xlfn.XLOOKUP(C31,'Annexe Etat'!$I$2:$I$164,'Annexe Etat'!$J$2:$J$164)</f>
        <v>Enseignement supérieur et recherche agricoles</v>
      </c>
      <c r="E31" s="57" t="s">
        <v>62</v>
      </c>
      <c r="F31" s="58" t="n">
        <v>2</v>
      </c>
      <c r="G31" s="58" t="n">
        <f aca="false">H31+I31</f>
        <v>0</v>
      </c>
      <c r="H31" s="58" t="n">
        <v>0</v>
      </c>
      <c r="I31" s="58" t="n">
        <v>0</v>
      </c>
      <c r="J31" s="59" t="n">
        <f aca="false">K31+L31</f>
        <v>0</v>
      </c>
      <c r="K31" s="59" t="n">
        <v>0</v>
      </c>
      <c r="L31" s="59" t="n">
        <v>0</v>
      </c>
      <c r="O31" s="0" t="s">
        <v>36</v>
      </c>
    </row>
    <row r="32" customFormat="false" ht="13.5" hidden="false" customHeight="false" outlineLevel="0" collapsed="false">
      <c r="A32" s="55" t="str">
        <f aca="false">_xlfn.XLOOKUP(C32,'Annexe Etat'!$I$2:$I$164,'Annexe Etat'!$H$2:$H$164)</f>
        <v>DB</v>
      </c>
      <c r="B32" s="55" t="str">
        <f aca="false">_xlfn.XLOOKUP(A32,'Annexe Etat'!$A$2:$A$164,'Annexe Etat'!$B$2:$B$164)</f>
        <v>Économie</v>
      </c>
      <c r="C32" s="56" t="n">
        <v>134</v>
      </c>
      <c r="D32" s="55" t="str">
        <f aca="false">_xlfn.XLOOKUP(C32,'Annexe Etat'!$I$2:$I$164,'Annexe Etat'!$J$2:$J$164)</f>
        <v>Développement des entreprises et régulations</v>
      </c>
      <c r="E32" s="57" t="s">
        <v>63</v>
      </c>
      <c r="F32" s="58" t="n">
        <v>1</v>
      </c>
      <c r="G32" s="58" t="n">
        <f aca="false">H32+I32</f>
        <v>277</v>
      </c>
      <c r="H32" s="58" t="n">
        <v>237</v>
      </c>
      <c r="I32" s="58" t="n">
        <v>40</v>
      </c>
      <c r="J32" s="59" t="n">
        <f aca="false">K32+L32</f>
        <v>230</v>
      </c>
      <c r="K32" s="59" t="n">
        <v>215</v>
      </c>
      <c r="L32" s="59" t="n">
        <v>15</v>
      </c>
      <c r="O32" s="0" t="s">
        <v>36</v>
      </c>
    </row>
    <row r="33" customFormat="false" ht="13.5" hidden="false" customHeight="false" outlineLevel="0" collapsed="false">
      <c r="A33" s="55" t="str">
        <f aca="false">_xlfn.XLOOKUP(C33,'Annexe Etat'!$I$2:$I$164,'Annexe Etat'!$H$2:$H$164)</f>
        <v>RA</v>
      </c>
      <c r="B33" s="55" t="str">
        <f aca="false">_xlfn.XLOOKUP(A33,'Annexe Etat'!$A$2:$A$164,'Annexe Etat'!$B$2:$B$164)</f>
        <v>Recherche et enseignement supérieur</v>
      </c>
      <c r="C33" s="62" t="n">
        <v>150</v>
      </c>
      <c r="D33" s="55" t="str">
        <f aca="false">_xlfn.XLOOKUP(C33,'Annexe Etat'!$I$2:$I$164,'Annexe Etat'!$J$2:$J$164)</f>
        <v>Formations supérieures et recherche universitaire</v>
      </c>
      <c r="E33" s="57" t="s">
        <v>64</v>
      </c>
      <c r="F33" s="63" t="n">
        <v>37</v>
      </c>
      <c r="G33" s="60" t="n">
        <f aca="false">H33+I33</f>
        <v>14747</v>
      </c>
      <c r="H33" s="60" t="n">
        <v>11088</v>
      </c>
      <c r="I33" s="60" t="n">
        <v>3659</v>
      </c>
      <c r="J33" s="61" t="n">
        <f aca="false">K33+L33</f>
        <v>14844</v>
      </c>
      <c r="K33" s="61" t="n">
        <v>11088</v>
      </c>
      <c r="L33" s="61" t="n">
        <v>3756</v>
      </c>
      <c r="Q33" s="0" t="s">
        <v>36</v>
      </c>
    </row>
    <row r="34" customFormat="false" ht="13.5" hidden="false" customHeight="false" outlineLevel="0" collapsed="false">
      <c r="A34" s="55" t="str">
        <f aca="false">_xlfn.XLOOKUP(C34,'Annexe Etat'!$I$2:$I$164,'Annexe Etat'!$H$2:$H$164)</f>
        <v>MA</v>
      </c>
      <c r="B34" s="55" t="str">
        <f aca="false">_xlfn.XLOOKUP(A34,'Annexe Etat'!$A$2:$A$164,'Annexe Etat'!$B$2:$B$164)</f>
        <v>Médias, livre et industries culturelles</v>
      </c>
      <c r="C34" s="62" t="n">
        <v>334</v>
      </c>
      <c r="D34" s="55" t="str">
        <f aca="false">_xlfn.XLOOKUP(C34,'Annexe Etat'!$I$2:$I$164,'Annexe Etat'!$J$2:$J$164)</f>
        <v>Livre et industries culturelles</v>
      </c>
      <c r="E34" s="57" t="s">
        <v>65</v>
      </c>
      <c r="F34" s="58" t="n">
        <v>1</v>
      </c>
      <c r="G34" s="60" t="n">
        <f aca="false">H34+I34</f>
        <v>2215</v>
      </c>
      <c r="H34" s="60" t="n">
        <v>2202</v>
      </c>
      <c r="I34" s="58" t="n">
        <v>13</v>
      </c>
      <c r="J34" s="61" t="n">
        <f aca="false">K34+L34</f>
        <v>2195</v>
      </c>
      <c r="K34" s="61" t="n">
        <v>2195</v>
      </c>
      <c r="L34" s="59" t="n">
        <v>0</v>
      </c>
      <c r="P34" s="0" t="s">
        <v>36</v>
      </c>
    </row>
    <row r="35" customFormat="false" ht="13.5" hidden="false" customHeight="false" outlineLevel="0" collapsed="false">
      <c r="A35" s="55" t="str">
        <f aca="false">_xlfn.XLOOKUP(C35,'Annexe Etat'!$I$2:$I$164,'Annexe Etat'!$H$2:$H$164)</f>
        <v>MA</v>
      </c>
      <c r="B35" s="55" t="str">
        <f aca="false">_xlfn.XLOOKUP(A35,'Annexe Etat'!$A$2:$A$164,'Annexe Etat'!$B$2:$B$164)</f>
        <v>Médias, livre et industries culturelles</v>
      </c>
      <c r="C35" s="56" t="n">
        <v>334</v>
      </c>
      <c r="D35" s="55" t="str">
        <f aca="false">_xlfn.XLOOKUP(C35,'Annexe Etat'!$I$2:$I$164,'Annexe Etat'!$J$2:$J$164)</f>
        <v>Livre et industries culturelles</v>
      </c>
      <c r="E35" s="57" t="s">
        <v>66</v>
      </c>
      <c r="F35" s="58" t="n">
        <v>1</v>
      </c>
      <c r="G35" s="58" t="n">
        <f aca="false">H35+I35</f>
        <v>61</v>
      </c>
      <c r="H35" s="58" t="n">
        <v>60</v>
      </c>
      <c r="I35" s="58" t="n">
        <v>1</v>
      </c>
      <c r="J35" s="59" t="n">
        <f aca="false">K35+L35</f>
        <v>60</v>
      </c>
      <c r="K35" s="59" t="n">
        <v>60</v>
      </c>
      <c r="L35" s="59" t="n">
        <v>0</v>
      </c>
      <c r="O35" s="0" t="s">
        <v>36</v>
      </c>
    </row>
    <row r="36" customFormat="false" ht="13.5" hidden="false" customHeight="false" outlineLevel="0" collapsed="false">
      <c r="A36" s="55" t="str">
        <f aca="false">_xlfn.XLOOKUP(C36,'Annexe Etat'!$I$2:$I$164,'Annexe Etat'!$H$2:$H$164)</f>
        <v>RA</v>
      </c>
      <c r="B36" s="55" t="str">
        <f aca="false">_xlfn.XLOOKUP(A36,'Annexe Etat'!$A$2:$A$164,'Annexe Etat'!$B$2:$B$164)</f>
        <v>Recherche et enseignement supérieur</v>
      </c>
      <c r="C36" s="56" t="n">
        <v>172</v>
      </c>
      <c r="D36" s="55" t="str">
        <f aca="false">_xlfn.XLOOKUP(C36,'Annexe Etat'!$I$2:$I$164,'Annexe Etat'!$J$2:$J$164)</f>
        <v>Recherches scientifiques et technologiques pluridisciplinaires</v>
      </c>
      <c r="E36" s="57" t="s">
        <v>67</v>
      </c>
      <c r="F36" s="58" t="n">
        <v>1</v>
      </c>
      <c r="G36" s="58" t="n">
        <f aca="false">H36+I36</f>
        <v>1065</v>
      </c>
      <c r="H36" s="58" t="n">
        <v>965</v>
      </c>
      <c r="I36" s="58" t="n">
        <v>100</v>
      </c>
      <c r="J36" s="59" t="n">
        <f aca="false">K36+L36</f>
        <v>1087</v>
      </c>
      <c r="K36" s="59" t="n">
        <v>967</v>
      </c>
      <c r="L36" s="59" t="n">
        <v>120</v>
      </c>
      <c r="Q36" s="0" t="s">
        <v>36</v>
      </c>
    </row>
    <row r="37" customFormat="false" ht="13.5" hidden="false" customHeight="false" outlineLevel="0" collapsed="false">
      <c r="A37" s="55" t="str">
        <f aca="false">_xlfn.XLOOKUP(C37,'Annexe Etat'!$I$2:$I$164,'Annexe Etat'!$H$2:$H$164)</f>
        <v>DB</v>
      </c>
      <c r="B37" s="55" t="str">
        <f aca="false">_xlfn.XLOOKUP(A37,'Annexe Etat'!$A$2:$A$164,'Annexe Etat'!$B$2:$B$164)</f>
        <v>Économie</v>
      </c>
      <c r="C37" s="62" t="n">
        <v>134</v>
      </c>
      <c r="D37" s="55" t="str">
        <f aca="false">_xlfn.XLOOKUP(C37,'Annexe Etat'!$I$2:$I$164,'Annexe Etat'!$J$2:$J$164)</f>
        <v>Développement des entreprises et régulations</v>
      </c>
      <c r="E37" s="57" t="s">
        <v>68</v>
      </c>
      <c r="F37" s="58" t="n">
        <v>1</v>
      </c>
      <c r="G37" s="60" t="n">
        <f aca="false">H37+I37</f>
        <v>1418</v>
      </c>
      <c r="H37" s="60" t="n">
        <v>1418</v>
      </c>
      <c r="I37" s="58" t="n">
        <v>0</v>
      </c>
      <c r="J37" s="61" t="n">
        <f aca="false">K37+L37</f>
        <v>1476</v>
      </c>
      <c r="K37" s="61" t="n">
        <v>1392</v>
      </c>
      <c r="L37" s="59" t="n">
        <v>84</v>
      </c>
      <c r="O37" s="0" t="s">
        <v>36</v>
      </c>
    </row>
    <row r="38" customFormat="false" ht="13.5" hidden="false" customHeight="false" outlineLevel="0" collapsed="false">
      <c r="A38" s="55" t="str">
        <f aca="false">_xlfn.XLOOKUP(C38,'Annexe Etat'!$I$2:$I$164,'Annexe Etat'!$H$2:$H$164)</f>
        <v>AA</v>
      </c>
      <c r="B38" s="55" t="str">
        <f aca="false">_xlfn.XLOOKUP(A38,'Annexe Etat'!$A$2:$A$164,'Annexe Etat'!$B$2:$B$164)</f>
        <v>Action extérieure de l'État</v>
      </c>
      <c r="C38" s="56" t="n">
        <v>185</v>
      </c>
      <c r="D38" s="55" t="str">
        <f aca="false">_xlfn.XLOOKUP(C38,'Annexe Etat'!$I$2:$I$164,'Annexe Etat'!$J$2:$J$164)</f>
        <v>Diplomatie culturelle et d'influence</v>
      </c>
      <c r="E38" s="57" t="s">
        <v>69</v>
      </c>
      <c r="F38" s="58" t="n">
        <v>1</v>
      </c>
      <c r="G38" s="58" t="n">
        <f aca="false">H38+I38</f>
        <v>258</v>
      </c>
      <c r="H38" s="58" t="n">
        <v>233</v>
      </c>
      <c r="I38" s="58" t="n">
        <v>25</v>
      </c>
      <c r="J38" s="59" t="n">
        <f aca="false">K38+L38</f>
        <v>258</v>
      </c>
      <c r="K38" s="59" t="n">
        <v>233</v>
      </c>
      <c r="L38" s="59" t="n">
        <v>25</v>
      </c>
      <c r="O38" s="0" t="s">
        <v>36</v>
      </c>
    </row>
    <row r="39" customFormat="false" ht="13.5" hidden="false" customHeight="false" outlineLevel="0" collapsed="false">
      <c r="A39" s="55" t="str">
        <f aca="false">_xlfn.XLOOKUP(C39,'Annexe Etat'!$I$2:$I$164,'Annexe Etat'!$H$2:$H$164)</f>
        <v>CB</v>
      </c>
      <c r="B39" s="55" t="str">
        <f aca="false">_xlfn.XLOOKUP(A39,'Annexe Etat'!$A$2:$A$164,'Annexe Etat'!$B$2:$B$164)</f>
        <v>Culture</v>
      </c>
      <c r="C39" s="56" t="n">
        <v>175</v>
      </c>
      <c r="D39" s="55" t="str">
        <f aca="false">_xlfn.XLOOKUP(C39,'Annexe Etat'!$I$2:$I$164,'Annexe Etat'!$J$2:$J$164)</f>
        <v>Patrimoines</v>
      </c>
      <c r="E39" s="57" t="s">
        <v>70</v>
      </c>
      <c r="F39" s="58" t="n">
        <v>1</v>
      </c>
      <c r="G39" s="58" t="n">
        <f aca="false">H39+I39</f>
        <v>134</v>
      </c>
      <c r="H39" s="58" t="n">
        <v>134</v>
      </c>
      <c r="I39" s="58"/>
      <c r="J39" s="59" t="n">
        <f aca="false">K39+L39</f>
        <v>135</v>
      </c>
      <c r="K39" s="59" t="n">
        <v>135</v>
      </c>
      <c r="L39" s="59"/>
      <c r="P39" s="0" t="s">
        <v>36</v>
      </c>
    </row>
    <row r="40" customFormat="false" ht="25.5" hidden="false" customHeight="false" outlineLevel="0" collapsed="false">
      <c r="A40" s="55" t="str">
        <f aca="false">_xlfn.XLOOKUP(C40,'Annexe Etat'!$I$2:$I$164,'Annexe Etat'!$H$2:$H$164)</f>
        <v>RA</v>
      </c>
      <c r="B40" s="55" t="str">
        <f aca="false">_xlfn.XLOOKUP(A40,'Annexe Etat'!$A$2:$A$164,'Annexe Etat'!$B$2:$B$164)</f>
        <v>Recherche et enseignement supérieur</v>
      </c>
      <c r="C40" s="62" t="n">
        <v>172</v>
      </c>
      <c r="D40" s="55" t="str">
        <f aca="false">_xlfn.XLOOKUP(C40,'Annexe Etat'!$I$2:$I$164,'Annexe Etat'!$J$2:$J$164)</f>
        <v>Recherches scientifiques et technologiques pluridisciplinaires</v>
      </c>
      <c r="E40" s="57" t="s">
        <v>71</v>
      </c>
      <c r="F40" s="58" t="n">
        <v>1</v>
      </c>
      <c r="G40" s="60" t="n">
        <f aca="false">H40+I40</f>
        <v>20639</v>
      </c>
      <c r="H40" s="60" t="n">
        <v>17296</v>
      </c>
      <c r="I40" s="60" t="n">
        <v>3343</v>
      </c>
      <c r="J40" s="61" t="n">
        <f aca="false">K40+L40</f>
        <v>20702</v>
      </c>
      <c r="K40" s="61" t="n">
        <v>17319</v>
      </c>
      <c r="L40" s="61" t="n">
        <v>3383</v>
      </c>
      <c r="Q40" s="0" t="s">
        <v>36</v>
      </c>
    </row>
    <row r="41" customFormat="false" ht="25.5" hidden="false" customHeight="false" outlineLevel="0" collapsed="false">
      <c r="A41" s="55" t="str">
        <f aca="false">_xlfn.XLOOKUP(C41,'Annexe Etat'!$I$2:$I$164,'Annexe Etat'!$H$2:$H$164)</f>
        <v>TA</v>
      </c>
      <c r="B41" s="55" t="str">
        <f aca="false">_xlfn.XLOOKUP(A41,'Annexe Etat'!$A$2:$A$164,'Annexe Etat'!$B$2:$B$164)</f>
        <v>Écologie, développement et mobilité durables</v>
      </c>
      <c r="C41" s="56" t="n">
        <v>113</v>
      </c>
      <c r="D41" s="55" t="str">
        <f aca="false">_xlfn.XLOOKUP(C41,'Annexe Etat'!$I$2:$I$164,'Annexe Etat'!$J$2:$J$164)</f>
        <v>Paysages, eau et biodiversité</v>
      </c>
      <c r="E41" s="57" t="s">
        <v>72</v>
      </c>
      <c r="F41" s="58" t="n">
        <v>1</v>
      </c>
      <c r="G41" s="58" t="n">
        <f aca="false">H41+I41</f>
        <v>208</v>
      </c>
      <c r="H41" s="58" t="n">
        <v>178</v>
      </c>
      <c r="I41" s="58" t="n">
        <v>30</v>
      </c>
      <c r="J41" s="59" t="n">
        <f aca="false">K41+L41</f>
        <v>206</v>
      </c>
      <c r="K41" s="59" t="n">
        <v>178</v>
      </c>
      <c r="L41" s="59" t="n">
        <v>28</v>
      </c>
      <c r="N41" s="0" t="s">
        <v>36</v>
      </c>
    </row>
    <row r="42" customFormat="false" ht="25.5" hidden="false" customHeight="false" outlineLevel="0" collapsed="false">
      <c r="A42" s="55" t="str">
        <f aca="false">_xlfn.XLOOKUP(C42,'Annexe Etat'!$I$2:$I$164,'Annexe Etat'!$H$2:$H$164)</f>
        <v>TB</v>
      </c>
      <c r="B42" s="55" t="str">
        <f aca="false">_xlfn.XLOOKUP(A42,'Annexe Etat'!$A$2:$A$164,'Annexe Etat'!$B$2:$B$164)</f>
        <v>Travail, emploi et administration des ministères sociaux</v>
      </c>
      <c r="C42" s="56" t="n">
        <v>103</v>
      </c>
      <c r="D42" s="55" t="str">
        <f aca="false">_xlfn.XLOOKUP(C42,'Annexe Etat'!$I$2:$I$164,'Annexe Etat'!$J$2:$J$164)</f>
        <v>Accompagnement des mutations économiques et développement de l'emploi</v>
      </c>
      <c r="E42" s="57" t="s">
        <v>73</v>
      </c>
      <c r="F42" s="58" t="n">
        <v>1</v>
      </c>
      <c r="G42" s="58" t="n">
        <f aca="false">H42+I42</f>
        <v>72</v>
      </c>
      <c r="H42" s="58" t="n">
        <v>72</v>
      </c>
      <c r="I42" s="58" t="n">
        <v>0</v>
      </c>
      <c r="J42" s="59" t="n">
        <f aca="false">K42+L42</f>
        <v>0</v>
      </c>
      <c r="K42" s="59" t="n">
        <v>0</v>
      </c>
      <c r="L42" s="59" t="n">
        <v>0</v>
      </c>
      <c r="O42" s="0" t="s">
        <v>36</v>
      </c>
    </row>
    <row r="43" customFormat="false" ht="25.5" hidden="false" customHeight="false" outlineLevel="0" collapsed="false">
      <c r="A43" s="55" t="str">
        <f aca="false">_xlfn.XLOOKUP(C43,'Annexe Etat'!$I$2:$I$164,'Annexe Etat'!$H$2:$H$164)</f>
        <v>TA</v>
      </c>
      <c r="B43" s="55" t="str">
        <f aca="false">_xlfn.XLOOKUP(A43,'Annexe Etat'!$A$2:$A$164,'Annexe Etat'!$B$2:$B$164)</f>
        <v>Écologie, développement et mobilité durables</v>
      </c>
      <c r="C43" s="62" t="n">
        <v>159</v>
      </c>
      <c r="D43" s="55" t="str">
        <f aca="false">_xlfn.XLOOKUP(C43,'Annexe Etat'!$I$2:$I$164,'Annexe Etat'!$J$2:$J$164)</f>
        <v>Expertise, information géographique et météorologie</v>
      </c>
      <c r="E43" s="57" t="s">
        <v>74</v>
      </c>
      <c r="F43" s="58" t="n">
        <v>1</v>
      </c>
      <c r="G43" s="60" t="n">
        <f aca="false">H43+I43</f>
        <v>2617</v>
      </c>
      <c r="H43" s="60" t="n">
        <v>2495</v>
      </c>
      <c r="I43" s="58" t="n">
        <v>122</v>
      </c>
      <c r="J43" s="61" t="n">
        <f aca="false">K43+L43</f>
        <v>2610</v>
      </c>
      <c r="K43" s="61" t="n">
        <v>2470</v>
      </c>
      <c r="L43" s="59" t="n">
        <v>140</v>
      </c>
      <c r="N43" s="0" t="s">
        <v>36</v>
      </c>
    </row>
    <row r="44" customFormat="false" ht="13.5" hidden="false" customHeight="false" outlineLevel="0" collapsed="false">
      <c r="A44" s="55" t="str">
        <f aca="false">_xlfn.XLOOKUP(C44,'Annexe Etat'!$I$2:$I$164,'Annexe Etat'!$H$2:$H$164)</f>
        <v>EC</v>
      </c>
      <c r="B44" s="55" t="str">
        <f aca="false">_xlfn.XLOOKUP(A44,'Annexe Etat'!$A$2:$A$164,'Annexe Etat'!$B$2:$B$164)</f>
        <v>Enseignement scolaire</v>
      </c>
      <c r="C44" s="56" t="n">
        <v>214</v>
      </c>
      <c r="D44" s="55" t="str">
        <f aca="false">_xlfn.XLOOKUP(C44,'Annexe Etat'!$I$2:$I$164,'Annexe Etat'!$J$2:$J$164)</f>
        <v>Soutien de la politique de l'éducation nationale</v>
      </c>
      <c r="E44" s="57" t="s">
        <v>75</v>
      </c>
      <c r="F44" s="58" t="n">
        <v>1</v>
      </c>
      <c r="G44" s="58" t="n">
        <f aca="false">H44+I44</f>
        <v>107</v>
      </c>
      <c r="H44" s="58" t="n">
        <v>99</v>
      </c>
      <c r="I44" s="58" t="n">
        <v>8</v>
      </c>
      <c r="J44" s="59" t="n">
        <f aca="false">K44+L44</f>
        <v>102</v>
      </c>
      <c r="K44" s="59" t="n">
        <v>96</v>
      </c>
      <c r="L44" s="59" t="n">
        <v>6</v>
      </c>
      <c r="O44" s="0" t="s">
        <v>36</v>
      </c>
    </row>
    <row r="45" customFormat="false" ht="13.5" hidden="false" customHeight="false" outlineLevel="0" collapsed="false">
      <c r="A45" s="55" t="str">
        <f aca="false">_xlfn.XLOOKUP(C45,'Annexe Etat'!$I$2:$I$164,'Annexe Etat'!$H$2:$H$164)</f>
        <v>VA</v>
      </c>
      <c r="B45" s="55" t="str">
        <f aca="false">_xlfn.XLOOKUP(A45,'Annexe Etat'!$A$2:$A$164,'Annexe Etat'!$B$2:$B$164)</f>
        <v>Cohésion des territoires</v>
      </c>
      <c r="C45" s="56" t="n">
        <v>135</v>
      </c>
      <c r="D45" s="55" t="str">
        <f aca="false">_xlfn.XLOOKUP(C45,'Annexe Etat'!$I$2:$I$164,'Annexe Etat'!$J$2:$J$164)</f>
        <v>Urbanisme, territoires et amélioration de l'habitat</v>
      </c>
      <c r="E45" s="57" t="s">
        <v>76</v>
      </c>
      <c r="F45" s="58" t="n">
        <v>1</v>
      </c>
      <c r="G45" s="58" t="n">
        <f aca="false">H45+I45</f>
        <v>29</v>
      </c>
      <c r="H45" s="58" t="n">
        <v>29</v>
      </c>
      <c r="I45" s="58" t="n">
        <v>0</v>
      </c>
      <c r="J45" s="59" t="n">
        <f aca="false">K45+L45</f>
        <v>29</v>
      </c>
      <c r="K45" s="59" t="n">
        <v>29</v>
      </c>
      <c r="L45" s="59" t="n">
        <v>0</v>
      </c>
      <c r="O45" s="0" t="s">
        <v>36</v>
      </c>
    </row>
    <row r="46" customFormat="false" ht="13.5" hidden="false" customHeight="false" outlineLevel="0" collapsed="false">
      <c r="A46" s="55" t="str">
        <f aca="false">_xlfn.XLOOKUP(C46,'Annexe Etat'!$I$2:$I$164,'Annexe Etat'!$H$2:$H$164)</f>
        <v>CB</v>
      </c>
      <c r="B46" s="55" t="str">
        <f aca="false">_xlfn.XLOOKUP(A46,'Annexe Etat'!$A$2:$A$164,'Annexe Etat'!$B$2:$B$164)</f>
        <v>Culture</v>
      </c>
      <c r="C46" s="56" t="n">
        <v>131</v>
      </c>
      <c r="D46" s="55" t="str">
        <f aca="false">_xlfn.XLOOKUP(C46,'Annexe Etat'!$I$2:$I$164,'Annexe Etat'!$J$2:$J$164)</f>
        <v>Création</v>
      </c>
      <c r="E46" s="57" t="s">
        <v>77</v>
      </c>
      <c r="F46" s="58" t="n">
        <v>1</v>
      </c>
      <c r="G46" s="58" t="n">
        <f aca="false">H46+I46</f>
        <v>137</v>
      </c>
      <c r="H46" s="58" t="n">
        <v>137</v>
      </c>
      <c r="I46" s="58" t="n">
        <v>0</v>
      </c>
      <c r="J46" s="59" t="n">
        <f aca="false">K46+L46</f>
        <v>136</v>
      </c>
      <c r="K46" s="59" t="n">
        <v>136</v>
      </c>
      <c r="L46" s="59" t="n">
        <v>0</v>
      </c>
      <c r="N46" s="0" t="s">
        <v>36</v>
      </c>
    </row>
    <row r="47" customFormat="false" ht="13.5" hidden="false" customHeight="false" outlineLevel="0" collapsed="false">
      <c r="A47" s="55" t="str">
        <f aca="false">_xlfn.XLOOKUP(C47,'Annexe Etat'!$I$2:$I$164,'Annexe Etat'!$H$2:$H$164)</f>
        <v>MA</v>
      </c>
      <c r="B47" s="55" t="str">
        <f aca="false">_xlfn.XLOOKUP(A47,'Annexe Etat'!$A$2:$A$164,'Annexe Etat'!$B$2:$B$164)</f>
        <v>Médias, livre et industries culturelles</v>
      </c>
      <c r="C47" s="56" t="n">
        <v>334</v>
      </c>
      <c r="D47" s="55" t="str">
        <f aca="false">_xlfn.XLOOKUP(C47,'Annexe Etat'!$I$2:$I$164,'Annexe Etat'!$J$2:$J$164)</f>
        <v>Livre et industries culturelles</v>
      </c>
      <c r="E47" s="57" t="s">
        <v>78</v>
      </c>
      <c r="F47" s="58" t="n">
        <v>1</v>
      </c>
      <c r="G47" s="58" t="n">
        <f aca="false">H47+I47</f>
        <v>213</v>
      </c>
      <c r="H47" s="58" t="n">
        <v>213</v>
      </c>
      <c r="I47" s="58" t="n">
        <v>0</v>
      </c>
      <c r="J47" s="59" t="n">
        <f aca="false">K47+L47</f>
        <v>212</v>
      </c>
      <c r="K47" s="59" t="n">
        <v>212</v>
      </c>
      <c r="L47" s="59" t="n">
        <v>0</v>
      </c>
      <c r="N47" s="0" t="s">
        <v>36</v>
      </c>
    </row>
    <row r="48" customFormat="false" ht="25.5" hidden="false" customHeight="false" outlineLevel="0" collapsed="false">
      <c r="A48" s="55" t="str">
        <f aca="false">_xlfn.XLOOKUP(C48,'Annexe Etat'!$I$2:$I$164,'Annexe Etat'!$H$2:$H$164)</f>
        <v>RA</v>
      </c>
      <c r="B48" s="55" t="str">
        <f aca="false">_xlfn.XLOOKUP(A48,'Annexe Etat'!$A$2:$A$164,'Annexe Etat'!$B$2:$B$164)</f>
        <v>Recherche et enseignement supérieur</v>
      </c>
      <c r="C48" s="62" t="n">
        <v>172</v>
      </c>
      <c r="D48" s="55" t="str">
        <f aca="false">_xlfn.XLOOKUP(C48,'Annexe Etat'!$I$2:$I$164,'Annexe Etat'!$J$2:$J$164)</f>
        <v>Recherches scientifiques et technologiques pluridisciplinaires</v>
      </c>
      <c r="E48" s="57" t="s">
        <v>79</v>
      </c>
      <c r="F48" s="58" t="n">
        <v>1</v>
      </c>
      <c r="G48" s="60" t="n">
        <f aca="false">H48+I48</f>
        <v>1895</v>
      </c>
      <c r="H48" s="60" t="n">
        <v>1779</v>
      </c>
      <c r="I48" s="58" t="n">
        <v>116</v>
      </c>
      <c r="J48" s="61" t="n">
        <f aca="false">K48+L48</f>
        <v>1898</v>
      </c>
      <c r="K48" s="61" t="n">
        <v>1779</v>
      </c>
      <c r="L48" s="59" t="n">
        <v>119</v>
      </c>
      <c r="O48" s="0" t="s">
        <v>36</v>
      </c>
    </row>
    <row r="49" customFormat="false" ht="13.5" hidden="false" customHeight="false" outlineLevel="0" collapsed="false">
      <c r="A49" s="55" t="str">
        <f aca="false">_xlfn.XLOOKUP(C49,'Annexe Etat'!$I$2:$I$164,'Annexe Etat'!$H$2:$H$164)</f>
        <v>CB</v>
      </c>
      <c r="B49" s="55" t="str">
        <f aca="false">_xlfn.XLOOKUP(A49,'Annexe Etat'!$A$2:$A$164,'Annexe Etat'!$B$2:$B$164)</f>
        <v>Culture</v>
      </c>
      <c r="C49" s="62" t="n">
        <v>175</v>
      </c>
      <c r="D49" s="55" t="str">
        <f aca="false">_xlfn.XLOOKUP(C49,'Annexe Etat'!$I$2:$I$164,'Annexe Etat'!$J$2:$J$164)</f>
        <v>Patrimoines</v>
      </c>
      <c r="E49" s="57" t="s">
        <v>80</v>
      </c>
      <c r="F49" s="58" t="n">
        <v>1</v>
      </c>
      <c r="G49" s="60" t="n">
        <f aca="false">H49+I49</f>
        <v>1529</v>
      </c>
      <c r="H49" s="60" t="n">
        <v>1493</v>
      </c>
      <c r="I49" s="58" t="n">
        <v>36</v>
      </c>
      <c r="J49" s="61" t="n">
        <f aca="false">K49+L49</f>
        <v>1553</v>
      </c>
      <c r="K49" s="61" t="n">
        <v>1517</v>
      </c>
      <c r="L49" s="59" t="n">
        <v>36</v>
      </c>
      <c r="P49" s="0" t="s">
        <v>36</v>
      </c>
    </row>
    <row r="50" customFormat="false" ht="13.5" hidden="false" customHeight="false" outlineLevel="0" collapsed="false">
      <c r="A50" s="55" t="str">
        <f aca="false">_xlfn.XLOOKUP(C50,'Annexe Etat'!$I$2:$I$164,'Annexe Etat'!$H$2:$H$164)</f>
        <v>CB</v>
      </c>
      <c r="B50" s="55" t="str">
        <f aca="false">_xlfn.XLOOKUP(A50,'Annexe Etat'!$A$2:$A$164,'Annexe Etat'!$B$2:$B$164)</f>
        <v>Culture</v>
      </c>
      <c r="C50" s="56" t="n">
        <v>361</v>
      </c>
      <c r="D50" s="55" t="str">
        <f aca="false">_xlfn.XLOOKUP(C50,'Annexe Etat'!$I$2:$I$164,'Annexe Etat'!$J$2:$J$164)</f>
        <v>Transmission des savoirs et démocratisation de la culture</v>
      </c>
      <c r="E50" s="57" t="s">
        <v>81</v>
      </c>
      <c r="F50" s="58" t="n">
        <v>1</v>
      </c>
      <c r="G50" s="58" t="n">
        <f aca="false">H50+I50</f>
        <v>37</v>
      </c>
      <c r="H50" s="58" t="n">
        <v>37</v>
      </c>
      <c r="I50" s="58" t="n">
        <v>0</v>
      </c>
      <c r="J50" s="59" t="n">
        <f aca="false">K50+L50</f>
        <v>37</v>
      </c>
      <c r="K50" s="59" t="n">
        <v>37</v>
      </c>
      <c r="L50" s="59" t="n">
        <v>0</v>
      </c>
      <c r="N50" s="0" t="s">
        <v>36</v>
      </c>
    </row>
    <row r="51" customFormat="false" ht="25.5" hidden="false" customHeight="false" outlineLevel="0" collapsed="false">
      <c r="A51" s="55" t="str">
        <f aca="false">_xlfn.XLOOKUP(C51,'Annexe Etat'!$I$2:$I$164,'Annexe Etat'!$H$2:$H$164)</f>
        <v>CB</v>
      </c>
      <c r="B51" s="55" t="str">
        <f aca="false">_xlfn.XLOOKUP(A51,'Annexe Etat'!$A$2:$A$164,'Annexe Etat'!$B$2:$B$164)</f>
        <v>Culture</v>
      </c>
      <c r="C51" s="62" t="n">
        <v>175</v>
      </c>
      <c r="D51" s="55" t="str">
        <f aca="false">_xlfn.XLOOKUP(C51,'Annexe Etat'!$I$2:$I$164,'Annexe Etat'!$J$2:$J$164)</f>
        <v>Patrimoines</v>
      </c>
      <c r="E51" s="57" t="s">
        <v>82</v>
      </c>
      <c r="F51" s="58" t="n">
        <v>1</v>
      </c>
      <c r="G51" s="60" t="n">
        <f aca="false">H51+I51</f>
        <v>1007</v>
      </c>
      <c r="H51" s="60" t="n">
        <v>1007</v>
      </c>
      <c r="I51" s="58" t="n">
        <v>0</v>
      </c>
      <c r="J51" s="59" t="n">
        <f aca="false">K51+L51</f>
        <v>945</v>
      </c>
      <c r="K51" s="59" t="n">
        <v>945</v>
      </c>
      <c r="L51" s="59" t="n">
        <v>0</v>
      </c>
      <c r="P51" s="0" t="s">
        <v>36</v>
      </c>
    </row>
    <row r="52" customFormat="false" ht="13.5" hidden="false" customHeight="false" outlineLevel="0" collapsed="false">
      <c r="A52" s="55" t="str">
        <f aca="false">_xlfn.XLOOKUP(C52,'Annexe Etat'!$I$2:$I$164,'Annexe Etat'!$H$2:$H$164)</f>
        <v>CB</v>
      </c>
      <c r="B52" s="55" t="str">
        <f aca="false">_xlfn.XLOOKUP(A52,'Annexe Etat'!$A$2:$A$164,'Annexe Etat'!$B$2:$B$164)</f>
        <v>Culture</v>
      </c>
      <c r="C52" s="56" t="n">
        <v>131</v>
      </c>
      <c r="D52" s="55" t="str">
        <f aca="false">_xlfn.XLOOKUP(C52,'Annexe Etat'!$I$2:$I$164,'Annexe Etat'!$J$2:$J$164)</f>
        <v>Création</v>
      </c>
      <c r="E52" s="57" t="s">
        <v>83</v>
      </c>
      <c r="F52" s="58" t="n">
        <v>1</v>
      </c>
      <c r="G52" s="58" t="n">
        <f aca="false">H52+I52</f>
        <v>21</v>
      </c>
      <c r="H52" s="58" t="n">
        <v>21</v>
      </c>
      <c r="I52" s="58" t="n">
        <v>0</v>
      </c>
      <c r="J52" s="59" t="n">
        <f aca="false">K52+L52</f>
        <v>21</v>
      </c>
      <c r="K52" s="59" t="n">
        <v>21</v>
      </c>
      <c r="L52" s="59" t="n">
        <v>0</v>
      </c>
      <c r="N52" s="0" t="s">
        <v>36</v>
      </c>
    </row>
    <row r="53" customFormat="false" ht="13.5" hidden="false" customHeight="false" outlineLevel="0" collapsed="false">
      <c r="A53" s="55" t="str">
        <f aca="false">_xlfn.XLOOKUP(C53,'Annexe Etat'!$I$2:$I$164,'Annexe Etat'!$H$2:$H$164)</f>
        <v>AB</v>
      </c>
      <c r="B53" s="55" t="str">
        <f aca="false">_xlfn.XLOOKUP(A53,'Annexe Etat'!$A$2:$A$164,'Annexe Etat'!$B$2:$B$164)</f>
        <v>Administration générale et territoriale de l'État</v>
      </c>
      <c r="C53" s="56" t="n">
        <v>216</v>
      </c>
      <c r="D53" s="55" t="str">
        <f aca="false">_xlfn.XLOOKUP(C53,'Annexe Etat'!$I$2:$I$164,'Annexe Etat'!$J$2:$J$164)</f>
        <v>Conduite et pilotage des politiques de l'intérieur</v>
      </c>
      <c r="E53" s="57" t="s">
        <v>84</v>
      </c>
      <c r="F53" s="58" t="n">
        <v>1</v>
      </c>
      <c r="G53" s="58" t="n">
        <f aca="false">H53+I53</f>
        <v>217</v>
      </c>
      <c r="H53" s="58" t="n">
        <v>217</v>
      </c>
      <c r="I53" s="58" t="n">
        <v>0</v>
      </c>
      <c r="J53" s="59" t="n">
        <f aca="false">K53+L53</f>
        <v>217</v>
      </c>
      <c r="K53" s="59" t="n">
        <v>217</v>
      </c>
      <c r="L53" s="59" t="n">
        <v>0</v>
      </c>
      <c r="O53" s="0" t="s">
        <v>36</v>
      </c>
    </row>
    <row r="54" customFormat="false" ht="13.5" hidden="false" customHeight="false" outlineLevel="0" collapsed="false">
      <c r="A54" s="55" t="str">
        <f aca="false">_xlfn.XLOOKUP(C54,'Annexe Etat'!$I$2:$I$164,'Annexe Etat'!$H$2:$H$164)</f>
        <v>MA</v>
      </c>
      <c r="B54" s="55" t="str">
        <f aca="false">_xlfn.XLOOKUP(A54,'Annexe Etat'!$A$2:$A$164,'Annexe Etat'!$B$2:$B$164)</f>
        <v>Médias, livre et industries culturelles</v>
      </c>
      <c r="C54" s="56" t="n">
        <v>334</v>
      </c>
      <c r="D54" s="55" t="str">
        <f aca="false">_xlfn.XLOOKUP(C54,'Annexe Etat'!$I$2:$I$164,'Annexe Etat'!$J$2:$J$164)</f>
        <v>Livre et industries culturelles</v>
      </c>
      <c r="E54" s="57" t="s">
        <v>85</v>
      </c>
      <c r="F54" s="58" t="n">
        <v>1</v>
      </c>
      <c r="G54" s="58" t="n">
        <f aca="false">H54+I54</f>
        <v>450</v>
      </c>
      <c r="H54" s="58" t="n">
        <v>450</v>
      </c>
      <c r="I54" s="58" t="n">
        <v>0</v>
      </c>
      <c r="J54" s="59" t="n">
        <f aca="false">K54+L54</f>
        <v>458</v>
      </c>
      <c r="K54" s="59" t="n">
        <v>458</v>
      </c>
      <c r="L54" s="59" t="n">
        <v>0</v>
      </c>
      <c r="O54" s="0" t="s">
        <v>36</v>
      </c>
    </row>
    <row r="55" customFormat="false" ht="13.5" hidden="false" customHeight="false" outlineLevel="0" collapsed="false">
      <c r="A55" s="55" t="str">
        <f aca="false">_xlfn.XLOOKUP(C55,'Annexe Etat'!$I$2:$I$164,'Annexe Etat'!$H$2:$H$164)</f>
        <v>CB</v>
      </c>
      <c r="B55" s="55" t="str">
        <f aca="false">_xlfn.XLOOKUP(A55,'Annexe Etat'!$A$2:$A$164,'Annexe Etat'!$B$2:$B$164)</f>
        <v>Culture</v>
      </c>
      <c r="C55" s="56" t="n">
        <v>131</v>
      </c>
      <c r="D55" s="55" t="str">
        <f aca="false">_xlfn.XLOOKUP(C55,'Annexe Etat'!$I$2:$I$164,'Annexe Etat'!$J$2:$J$164)</f>
        <v>Création</v>
      </c>
      <c r="E55" s="57" t="s">
        <v>86</v>
      </c>
      <c r="F55" s="58" t="n">
        <v>1</v>
      </c>
      <c r="G55" s="58" t="n">
        <f aca="false">H55+I55</f>
        <v>99</v>
      </c>
      <c r="H55" s="58" t="n">
        <v>99</v>
      </c>
      <c r="I55" s="58" t="n">
        <v>0</v>
      </c>
      <c r="J55" s="59" t="n">
        <f aca="false">K55+L55</f>
        <v>98</v>
      </c>
      <c r="K55" s="59" t="n">
        <v>98</v>
      </c>
      <c r="L55" s="59" t="n">
        <v>0</v>
      </c>
      <c r="O55" s="0" t="s">
        <v>36</v>
      </c>
    </row>
    <row r="56" customFormat="false" ht="13.5" hidden="false" customHeight="false" outlineLevel="0" collapsed="false">
      <c r="A56" s="55" t="str">
        <f aca="false">_xlfn.XLOOKUP(C56,'Annexe Etat'!$I$2:$I$164,'Annexe Etat'!$H$2:$H$164)</f>
        <v>EC</v>
      </c>
      <c r="B56" s="55" t="str">
        <f aca="false">_xlfn.XLOOKUP(A56,'Annexe Etat'!$A$2:$A$164,'Annexe Etat'!$B$2:$B$164)</f>
        <v>Enseignement scolaire</v>
      </c>
      <c r="C56" s="56" t="n">
        <v>214</v>
      </c>
      <c r="D56" s="55" t="str">
        <f aca="false">_xlfn.XLOOKUP(C56,'Annexe Etat'!$I$2:$I$164,'Annexe Etat'!$J$2:$J$164)</f>
        <v>Soutien de la politique de l'éducation nationale</v>
      </c>
      <c r="E56" s="57" t="s">
        <v>87</v>
      </c>
      <c r="F56" s="58" t="n">
        <v>1</v>
      </c>
      <c r="G56" s="58" t="n">
        <f aca="false">H56+I56</f>
        <v>957</v>
      </c>
      <c r="H56" s="58" t="n">
        <v>927</v>
      </c>
      <c r="I56" s="58" t="n">
        <v>30</v>
      </c>
      <c r="J56" s="59" t="n">
        <f aca="false">K56+L56</f>
        <v>957</v>
      </c>
      <c r="K56" s="59" t="n">
        <v>927</v>
      </c>
      <c r="L56" s="59" t="n">
        <v>30</v>
      </c>
      <c r="Q56" s="0" t="s">
        <v>36</v>
      </c>
    </row>
    <row r="57" customFormat="false" ht="13.5" hidden="false" customHeight="false" outlineLevel="0" collapsed="false">
      <c r="A57" s="55" t="str">
        <f aca="false">_xlfn.XLOOKUP(C57,'Annexe Etat'!$I$2:$I$164,'Annexe Etat'!$H$2:$H$164)</f>
        <v>RA</v>
      </c>
      <c r="B57" s="55" t="str">
        <f aca="false">_xlfn.XLOOKUP(A57,'Annexe Etat'!$A$2:$A$164,'Annexe Etat'!$B$2:$B$164)</f>
        <v>Recherche et enseignement supérieur</v>
      </c>
      <c r="C57" s="62" t="n">
        <v>193</v>
      </c>
      <c r="D57" s="55" t="str">
        <f aca="false">_xlfn.XLOOKUP(C57,'Annexe Etat'!$I$2:$I$164,'Annexe Etat'!$J$2:$J$164)</f>
        <v>Recherche spatiale</v>
      </c>
      <c r="E57" s="57" t="s">
        <v>88</v>
      </c>
      <c r="F57" s="58" t="n">
        <v>1</v>
      </c>
      <c r="G57" s="60" t="n">
        <f aca="false">H57+I57</f>
        <v>2674</v>
      </c>
      <c r="H57" s="60" t="n">
        <v>2404</v>
      </c>
      <c r="I57" s="58" t="n">
        <v>270</v>
      </c>
      <c r="J57" s="61" t="n">
        <f aca="false">K57+L57</f>
        <v>2394</v>
      </c>
      <c r="K57" s="61" t="n">
        <v>2394</v>
      </c>
      <c r="L57" s="59" t="n">
        <v>0</v>
      </c>
      <c r="Q57" s="0" t="s">
        <v>36</v>
      </c>
    </row>
    <row r="58" customFormat="false" ht="13.5" hidden="false" customHeight="false" outlineLevel="0" collapsed="false">
      <c r="A58" s="55" t="str">
        <f aca="false">_xlfn.XLOOKUP(C58,'Annexe Etat'!$I$2:$I$164,'Annexe Etat'!$H$2:$H$164)</f>
        <v>MA</v>
      </c>
      <c r="B58" s="55" t="str">
        <f aca="false">_xlfn.XLOOKUP(A58,'Annexe Etat'!$A$2:$A$164,'Annexe Etat'!$B$2:$B$164)</f>
        <v>Médias, livre et industries culturelles</v>
      </c>
      <c r="C58" s="56" t="n">
        <v>334</v>
      </c>
      <c r="D58" s="55" t="str">
        <f aca="false">_xlfn.XLOOKUP(C58,'Annexe Etat'!$I$2:$I$164,'Annexe Etat'!$J$2:$J$164)</f>
        <v>Livre et industries culturelles</v>
      </c>
      <c r="E58" s="57" t="s">
        <v>89</v>
      </c>
      <c r="F58" s="58" t="n">
        <v>1</v>
      </c>
      <c r="G58" s="58" t="n">
        <f aca="false">H58+I58</f>
        <v>66</v>
      </c>
      <c r="H58" s="58" t="n">
        <v>63</v>
      </c>
      <c r="I58" s="58" t="n">
        <v>3</v>
      </c>
      <c r="J58" s="59" t="n">
        <f aca="false">K58+L58</f>
        <v>63</v>
      </c>
      <c r="K58" s="59" t="n">
        <v>63</v>
      </c>
      <c r="L58" s="59" t="n">
        <v>0</v>
      </c>
      <c r="O58" s="0" t="s">
        <v>36</v>
      </c>
    </row>
    <row r="59" customFormat="false" ht="13.5" hidden="false" customHeight="false" outlineLevel="0" collapsed="false">
      <c r="A59" s="55" t="str">
        <f aca="false">_xlfn.XLOOKUP(C59,'Annexe Etat'!$I$2:$I$164,'Annexe Etat'!$H$2:$H$164)</f>
        <v>MA</v>
      </c>
      <c r="B59" s="55" t="str">
        <f aca="false">_xlfn.XLOOKUP(A59,'Annexe Etat'!$A$2:$A$164,'Annexe Etat'!$B$2:$B$164)</f>
        <v>Médias, livre et industries culturelles</v>
      </c>
      <c r="C59" s="56" t="n">
        <v>334</v>
      </c>
      <c r="D59" s="55" t="str">
        <f aca="false">_xlfn.XLOOKUP(C59,'Annexe Etat'!$I$2:$I$164,'Annexe Etat'!$J$2:$J$164)</f>
        <v>Livre et industries culturelles</v>
      </c>
      <c r="E59" s="57" t="s">
        <v>90</v>
      </c>
      <c r="F59" s="58" t="n">
        <v>1</v>
      </c>
      <c r="G59" s="58" t="n">
        <f aca="false">H59+I59</f>
        <v>131</v>
      </c>
      <c r="H59" s="58" t="n">
        <v>121</v>
      </c>
      <c r="I59" s="58" t="n">
        <v>10</v>
      </c>
      <c r="J59" s="59" t="n">
        <f aca="false">K59+L59</f>
        <v>121</v>
      </c>
      <c r="K59" s="59" t="n">
        <v>121</v>
      </c>
      <c r="L59" s="59" t="n">
        <v>0</v>
      </c>
      <c r="O59" s="0" t="s">
        <v>36</v>
      </c>
    </row>
    <row r="60" customFormat="false" ht="13.5" hidden="false" customHeight="false" outlineLevel="0" collapsed="false">
      <c r="A60" s="55" t="str">
        <f aca="false">_xlfn.XLOOKUP(C60,'Annexe Etat'!$I$2:$I$164,'Annexe Etat'!$H$2:$H$164)</f>
        <v>AC</v>
      </c>
      <c r="B60" s="55" t="str">
        <f aca="false">_xlfn.XLOOKUP(A60,'Annexe Etat'!$A$2:$A$164,'Annexe Etat'!$B$2:$B$164)</f>
        <v>Agriculture, alimentation, forêt et affaires rurales</v>
      </c>
      <c r="C60" s="56" t="n">
        <v>149</v>
      </c>
      <c r="D60" s="55" t="str">
        <f aca="false">_xlfn.XLOOKUP(C60,'Annexe Etat'!$I$2:$I$164,'Annexe Etat'!$J$2:$J$164)</f>
        <v>Compétitivité et durabilité de l'agriculture, de l'agroalimentaire et de la forêt</v>
      </c>
      <c r="E60" s="57" t="s">
        <v>91</v>
      </c>
      <c r="F60" s="58" t="n">
        <v>1</v>
      </c>
      <c r="G60" s="58" t="n">
        <f aca="false">H60+I60</f>
        <v>468</v>
      </c>
      <c r="H60" s="58" t="n">
        <v>368</v>
      </c>
      <c r="I60" s="58" t="n">
        <v>100</v>
      </c>
      <c r="J60" s="59" t="n">
        <f aca="false">K60+L60</f>
        <v>471</v>
      </c>
      <c r="K60" s="59" t="n">
        <v>374</v>
      </c>
      <c r="L60" s="59" t="n">
        <v>97</v>
      </c>
      <c r="O60" s="0" t="s">
        <v>36</v>
      </c>
    </row>
    <row r="61" customFormat="false" ht="13.5" hidden="false" customHeight="false" outlineLevel="0" collapsed="false">
      <c r="A61" s="55" t="str">
        <f aca="false">_xlfn.XLOOKUP(C61,'Annexe Etat'!$I$2:$I$164,'Annexe Etat'!$H$2:$H$164)</f>
        <v>RA</v>
      </c>
      <c r="B61" s="55" t="str">
        <f aca="false">_xlfn.XLOOKUP(A61,'Annexe Etat'!$A$2:$A$164,'Annexe Etat'!$B$2:$B$164)</f>
        <v>Recherche et enseignement supérieur</v>
      </c>
      <c r="C61" s="62" t="n">
        <v>172</v>
      </c>
      <c r="D61" s="55" t="str">
        <f aca="false">_xlfn.XLOOKUP(C61,'Annexe Etat'!$I$2:$I$164,'Annexe Etat'!$J$2:$J$164)</f>
        <v>Recherches scientifiques et technologiques pluridisciplinaires</v>
      </c>
      <c r="E61" s="57" t="s">
        <v>92</v>
      </c>
      <c r="F61" s="58" t="n">
        <v>1</v>
      </c>
      <c r="G61" s="60" t="n">
        <f aca="false">H61+I61</f>
        <v>37199</v>
      </c>
      <c r="H61" s="60" t="n">
        <v>25999</v>
      </c>
      <c r="I61" s="60" t="n">
        <v>11200</v>
      </c>
      <c r="J61" s="61" t="n">
        <f aca="false">K61+L61</f>
        <v>37747</v>
      </c>
      <c r="K61" s="61" t="n">
        <v>26047</v>
      </c>
      <c r="L61" s="61" t="n">
        <v>11700</v>
      </c>
      <c r="Q61" s="0" t="s">
        <v>36</v>
      </c>
    </row>
    <row r="62" customFormat="false" ht="13.5" hidden="false" customHeight="false" outlineLevel="0" collapsed="false">
      <c r="A62" s="55" t="str">
        <f aca="false">_xlfn.XLOOKUP(C62,'Annexe Etat'!$I$2:$I$164,'Annexe Etat'!$H$2:$H$164)</f>
        <v>CB</v>
      </c>
      <c r="B62" s="55" t="str">
        <f aca="false">_xlfn.XLOOKUP(A62,'Annexe Etat'!$A$2:$A$164,'Annexe Etat'!$B$2:$B$164)</f>
        <v>Culture</v>
      </c>
      <c r="C62" s="56" t="n">
        <v>361</v>
      </c>
      <c r="D62" s="55" t="str">
        <f aca="false">_xlfn.XLOOKUP(C62,'Annexe Etat'!$I$2:$I$164,'Annexe Etat'!$J$2:$J$164)</f>
        <v>Transmission des savoirs et démocratisation de la culture</v>
      </c>
      <c r="E62" s="57" t="s">
        <v>93</v>
      </c>
      <c r="F62" s="58" t="n">
        <v>1</v>
      </c>
      <c r="G62" s="58" t="n">
        <f aca="false">H62+I62</f>
        <v>41</v>
      </c>
      <c r="H62" s="58" t="n">
        <v>41</v>
      </c>
      <c r="I62" s="58" t="n">
        <v>0</v>
      </c>
      <c r="J62" s="59" t="n">
        <f aca="false">K62+L62</f>
        <v>41</v>
      </c>
      <c r="K62" s="59" t="n">
        <v>41</v>
      </c>
      <c r="L62" s="59" t="n">
        <v>0</v>
      </c>
      <c r="Q62" s="0" t="s">
        <v>36</v>
      </c>
    </row>
    <row r="63" customFormat="false" ht="25.5" hidden="false" customHeight="false" outlineLevel="0" collapsed="false">
      <c r="A63" s="55" t="str">
        <f aca="false">_xlfn.XLOOKUP(C63,'Annexe Etat'!$I$2:$I$164,'Annexe Etat'!$H$2:$H$164)</f>
        <v>CB</v>
      </c>
      <c r="B63" s="55" t="str">
        <f aca="false">_xlfn.XLOOKUP(A63,'Annexe Etat'!$A$2:$A$164,'Annexe Etat'!$B$2:$B$164)</f>
        <v>Culture</v>
      </c>
      <c r="C63" s="56" t="n">
        <v>361</v>
      </c>
      <c r="D63" s="55" t="str">
        <f aca="false">_xlfn.XLOOKUP(C63,'Annexe Etat'!$I$2:$I$164,'Annexe Etat'!$J$2:$J$164)</f>
        <v>Transmission des savoirs et démocratisation de la culture</v>
      </c>
      <c r="E63" s="57" t="s">
        <v>94</v>
      </c>
      <c r="F63" s="58" t="n">
        <v>1</v>
      </c>
      <c r="G63" s="58" t="n">
        <f aca="false">H63+I63</f>
        <v>206</v>
      </c>
      <c r="H63" s="58" t="n">
        <v>206</v>
      </c>
      <c r="I63" s="58" t="n">
        <v>0</v>
      </c>
      <c r="J63" s="59" t="n">
        <f aca="false">K63+L63</f>
        <v>206</v>
      </c>
      <c r="K63" s="59" t="n">
        <v>206</v>
      </c>
      <c r="L63" s="59" t="n">
        <v>0</v>
      </c>
      <c r="Q63" s="0" t="s">
        <v>36</v>
      </c>
    </row>
    <row r="64" customFormat="false" ht="25.5" hidden="false" customHeight="false" outlineLevel="0" collapsed="false">
      <c r="A64" s="55" t="str">
        <f aca="false">_xlfn.XLOOKUP(C64,'Annexe Etat'!$I$2:$I$164,'Annexe Etat'!$H$2:$H$164)</f>
        <v>CB</v>
      </c>
      <c r="B64" s="55" t="str">
        <f aca="false">_xlfn.XLOOKUP(A64,'Annexe Etat'!$A$2:$A$164,'Annexe Etat'!$B$2:$B$164)</f>
        <v>Culture</v>
      </c>
      <c r="C64" s="56" t="n">
        <v>361</v>
      </c>
      <c r="D64" s="55" t="str">
        <f aca="false">_xlfn.XLOOKUP(C64,'Annexe Etat'!$I$2:$I$164,'Annexe Etat'!$J$2:$J$164)</f>
        <v>Transmission des savoirs et démocratisation de la culture</v>
      </c>
      <c r="E64" s="57" t="s">
        <v>95</v>
      </c>
      <c r="F64" s="58" t="n">
        <v>1</v>
      </c>
      <c r="G64" s="58" t="n">
        <f aca="false">H64+I64</f>
        <v>349</v>
      </c>
      <c r="H64" s="58" t="n">
        <v>349</v>
      </c>
      <c r="I64" s="58" t="n">
        <v>0</v>
      </c>
      <c r="J64" s="59" t="n">
        <f aca="false">K64+L64</f>
        <v>349</v>
      </c>
      <c r="K64" s="59" t="n">
        <v>349</v>
      </c>
      <c r="L64" s="59" t="n">
        <v>0</v>
      </c>
      <c r="Q64" s="0" t="s">
        <v>36</v>
      </c>
    </row>
    <row r="65" customFormat="false" ht="13.5" hidden="false" customHeight="false" outlineLevel="0" collapsed="false">
      <c r="A65" s="55" t="str">
        <f aca="false">_xlfn.XLOOKUP(C65,'Annexe Etat'!$I$2:$I$164,'Annexe Etat'!$H$2:$H$164)</f>
        <v>CB</v>
      </c>
      <c r="B65" s="55" t="str">
        <f aca="false">_xlfn.XLOOKUP(A65,'Annexe Etat'!$A$2:$A$164,'Annexe Etat'!$B$2:$B$164)</f>
        <v>Culture</v>
      </c>
      <c r="C65" s="56" t="n">
        <v>131</v>
      </c>
      <c r="D65" s="55" t="str">
        <f aca="false">_xlfn.XLOOKUP(C65,'Annexe Etat'!$I$2:$I$164,'Annexe Etat'!$J$2:$J$164)</f>
        <v>Création</v>
      </c>
      <c r="E65" s="57" t="s">
        <v>96</v>
      </c>
      <c r="F65" s="58" t="n">
        <v>1</v>
      </c>
      <c r="G65" s="58" t="n">
        <f aca="false">H65+I65</f>
        <v>399</v>
      </c>
      <c r="H65" s="58" t="n">
        <v>399</v>
      </c>
      <c r="I65" s="58" t="n">
        <v>0</v>
      </c>
      <c r="J65" s="59" t="n">
        <f aca="false">K65+L65</f>
        <v>397</v>
      </c>
      <c r="K65" s="59" t="n">
        <v>397</v>
      </c>
      <c r="L65" s="59" t="n">
        <v>0</v>
      </c>
      <c r="P65" s="0" t="s">
        <v>36</v>
      </c>
    </row>
    <row r="66" customFormat="false" ht="13.5" hidden="false" customHeight="false" outlineLevel="0" collapsed="false">
      <c r="A66" s="55" t="str">
        <f aca="false">_xlfn.XLOOKUP(C66,'Annexe Etat'!$I$2:$I$164,'Annexe Etat'!$H$2:$H$164)</f>
        <v>RA</v>
      </c>
      <c r="B66" s="55" t="str">
        <f aca="false">_xlfn.XLOOKUP(A66,'Annexe Etat'!$A$2:$A$164,'Annexe Etat'!$B$2:$B$164)</f>
        <v>Recherche et enseignement supérieur</v>
      </c>
      <c r="C66" s="56" t="n">
        <v>150</v>
      </c>
      <c r="D66" s="55" t="str">
        <f aca="false">_xlfn.XLOOKUP(C66,'Annexe Etat'!$I$2:$I$164,'Annexe Etat'!$J$2:$J$164)</f>
        <v>Formations supérieures et recherche universitaire</v>
      </c>
      <c r="E66" s="57" t="s">
        <v>97</v>
      </c>
      <c r="F66" s="58" t="n">
        <v>5</v>
      </c>
      <c r="G66" s="58" t="n">
        <f aca="false">H66+I66</f>
        <v>1419</v>
      </c>
      <c r="H66" s="58" t="n">
        <v>978</v>
      </c>
      <c r="I66" s="58" t="n">
        <v>441</v>
      </c>
      <c r="J66" s="59" t="n">
        <f aca="false">K66+L66</f>
        <v>1529</v>
      </c>
      <c r="K66" s="59" t="n">
        <v>978</v>
      </c>
      <c r="L66" s="59" t="n">
        <v>551</v>
      </c>
      <c r="O66" s="0" t="s">
        <v>36</v>
      </c>
    </row>
    <row r="67" customFormat="false" ht="13.5" hidden="false" customHeight="false" outlineLevel="0" collapsed="false">
      <c r="A67" s="55" t="str">
        <f aca="false">_xlfn.XLOOKUP(C67,'Annexe Etat'!$I$2:$I$164,'Annexe Etat'!$H$2:$H$164)</f>
        <v>DA</v>
      </c>
      <c r="B67" s="55" t="str">
        <f aca="false">_xlfn.XLOOKUP(A67,'Annexe Etat'!$A$2:$A$164,'Annexe Etat'!$B$2:$B$164)</f>
        <v>Défense</v>
      </c>
      <c r="C67" s="56" t="n">
        <v>178</v>
      </c>
      <c r="D67" s="55" t="str">
        <f aca="false">_xlfn.XLOOKUP(C67,'Annexe Etat'!$I$2:$I$164,'Annexe Etat'!$J$2:$J$164)</f>
        <v>Préparation et emploi des forces</v>
      </c>
      <c r="E67" s="57" t="s">
        <v>98</v>
      </c>
      <c r="F67" s="58" t="n">
        <v>1</v>
      </c>
      <c r="G67" s="58" t="n">
        <f aca="false">H67+I67</f>
        <v>319</v>
      </c>
      <c r="H67" s="58" t="n">
        <v>300</v>
      </c>
      <c r="I67" s="58" t="n">
        <v>19</v>
      </c>
      <c r="J67" s="59" t="n">
        <f aca="false">K67+L67</f>
        <v>319</v>
      </c>
      <c r="K67" s="59" t="n">
        <v>300</v>
      </c>
      <c r="L67" s="59" t="n">
        <v>19</v>
      </c>
      <c r="Q67" s="0" t="s">
        <v>36</v>
      </c>
    </row>
    <row r="68" customFormat="false" ht="13.5" hidden="false" customHeight="false" outlineLevel="0" collapsed="false">
      <c r="A68" s="55" t="str">
        <f aca="false">_xlfn.XLOOKUP(C68,'Annexe Etat'!$I$2:$I$164,'Annexe Etat'!$H$2:$H$164)</f>
        <v>CB</v>
      </c>
      <c r="B68" s="55" t="str">
        <f aca="false">_xlfn.XLOOKUP(A68,'Annexe Etat'!$A$2:$A$164,'Annexe Etat'!$B$2:$B$164)</f>
        <v>Culture</v>
      </c>
      <c r="C68" s="56" t="n">
        <v>361</v>
      </c>
      <c r="D68" s="55" t="str">
        <f aca="false">_xlfn.XLOOKUP(C68,'Annexe Etat'!$I$2:$I$164,'Annexe Etat'!$J$2:$J$164)</f>
        <v>Transmission des savoirs et démocratisation de la culture</v>
      </c>
      <c r="E68" s="57" t="s">
        <v>99</v>
      </c>
      <c r="F68" s="58" t="n">
        <v>1</v>
      </c>
      <c r="G68" s="58" t="n">
        <f aca="false">H68+I68</f>
        <v>41</v>
      </c>
      <c r="H68" s="58" t="n">
        <v>32</v>
      </c>
      <c r="I68" s="58" t="n">
        <v>9</v>
      </c>
      <c r="J68" s="59" t="n">
        <f aca="false">K68+L68</f>
        <v>41</v>
      </c>
      <c r="K68" s="59" t="n">
        <v>32</v>
      </c>
      <c r="L68" s="59" t="n">
        <v>9</v>
      </c>
      <c r="Q68" s="0" t="s">
        <v>36</v>
      </c>
    </row>
    <row r="69" customFormat="false" ht="13.5" hidden="false" customHeight="false" outlineLevel="0" collapsed="false">
      <c r="A69" s="55" t="str">
        <f aca="false">_xlfn.XLOOKUP(C69,'Annexe Etat'!$I$2:$I$164,'Annexe Etat'!$H$2:$H$164)</f>
        <v>DA</v>
      </c>
      <c r="B69" s="55" t="str">
        <f aca="false">_xlfn.XLOOKUP(A69,'Annexe Etat'!$A$2:$A$164,'Annexe Etat'!$B$2:$B$164)</f>
        <v>Défense</v>
      </c>
      <c r="C69" s="56" t="n">
        <v>178</v>
      </c>
      <c r="D69" s="55" t="str">
        <f aca="false">_xlfn.XLOOKUP(C69,'Annexe Etat'!$I$2:$I$164,'Annexe Etat'!$J$2:$J$164)</f>
        <v>Préparation et emploi des forces</v>
      </c>
      <c r="E69" s="57" t="s">
        <v>100</v>
      </c>
      <c r="F69" s="58" t="n">
        <v>1</v>
      </c>
      <c r="G69" s="58" t="n">
        <f aca="false">H69+I69</f>
        <v>410</v>
      </c>
      <c r="H69" s="58" t="n">
        <v>370</v>
      </c>
      <c r="I69" s="58" t="n">
        <v>40</v>
      </c>
      <c r="J69" s="59" t="n">
        <f aca="false">K69+L69</f>
        <v>412</v>
      </c>
      <c r="K69" s="59" t="n">
        <v>372</v>
      </c>
      <c r="L69" s="59" t="n">
        <v>40</v>
      </c>
      <c r="Q69" s="0" t="s">
        <v>36</v>
      </c>
    </row>
    <row r="70" customFormat="false" ht="25.5" hidden="false" customHeight="false" outlineLevel="0" collapsed="false">
      <c r="A70" s="55" t="str">
        <f aca="false">_xlfn.XLOOKUP(C70,'Annexe Etat'!$I$2:$I$164,'Annexe Etat'!$H$2:$H$164)</f>
        <v>CB</v>
      </c>
      <c r="B70" s="55" t="str">
        <f aca="false">_xlfn.XLOOKUP(A70,'Annexe Etat'!$A$2:$A$164,'Annexe Etat'!$B$2:$B$164)</f>
        <v>Culture</v>
      </c>
      <c r="C70" s="62" t="n">
        <v>361</v>
      </c>
      <c r="D70" s="55" t="str">
        <f aca="false">_xlfn.XLOOKUP(C70,'Annexe Etat'!$I$2:$I$164,'Annexe Etat'!$J$2:$J$164)</f>
        <v>Transmission des savoirs et démocratisation de la culture</v>
      </c>
      <c r="E70" s="57" t="s">
        <v>101</v>
      </c>
      <c r="F70" s="58" t="n">
        <v>20</v>
      </c>
      <c r="G70" s="60" t="n">
        <f aca="false">H70+I70</f>
        <v>789</v>
      </c>
      <c r="H70" s="58" t="n">
        <v>789</v>
      </c>
      <c r="I70" s="58" t="n">
        <v>0</v>
      </c>
      <c r="J70" s="61" t="n">
        <f aca="false">K70+L70</f>
        <v>789</v>
      </c>
      <c r="K70" s="59" t="n">
        <v>789</v>
      </c>
      <c r="L70" s="59" t="n">
        <v>0</v>
      </c>
      <c r="Q70" s="0" t="s">
        <v>36</v>
      </c>
    </row>
    <row r="71" customFormat="false" ht="13.5" hidden="false" customHeight="false" outlineLevel="0" collapsed="false">
      <c r="A71" s="55" t="str">
        <f aca="false">_xlfn.XLOOKUP(C71,'Annexe Etat'!$I$2:$I$164,'Annexe Etat'!$H$2:$H$164)</f>
        <v>CB</v>
      </c>
      <c r="B71" s="55" t="str">
        <f aca="false">_xlfn.XLOOKUP(A71,'Annexe Etat'!$A$2:$A$164,'Annexe Etat'!$B$2:$B$164)</f>
        <v>Culture</v>
      </c>
      <c r="C71" s="56" t="n">
        <v>361</v>
      </c>
      <c r="D71" s="55" t="str">
        <f aca="false">_xlfn.XLOOKUP(C71,'Annexe Etat'!$I$2:$I$164,'Annexe Etat'!$J$2:$J$164)</f>
        <v>Transmission des savoirs et démocratisation de la culture</v>
      </c>
      <c r="E71" s="57" t="s">
        <v>102</v>
      </c>
      <c r="F71" s="58" t="n">
        <v>7</v>
      </c>
      <c r="G71" s="58" t="n">
        <f aca="false">H71+I71</f>
        <v>105</v>
      </c>
      <c r="H71" s="58" t="n">
        <v>105</v>
      </c>
      <c r="I71" s="58" t="n">
        <v>0</v>
      </c>
      <c r="J71" s="59" t="n">
        <f aca="false">K71+L71</f>
        <v>105</v>
      </c>
      <c r="K71" s="59" t="n">
        <v>105</v>
      </c>
      <c r="L71" s="59" t="n">
        <v>0</v>
      </c>
      <c r="Q71" s="0" t="s">
        <v>36</v>
      </c>
    </row>
    <row r="72" customFormat="false" ht="13.5" hidden="false" customHeight="false" outlineLevel="0" collapsed="false">
      <c r="A72" s="55" t="str">
        <f aca="false">_xlfn.XLOOKUP(C72,'Annexe Etat'!$I$2:$I$164,'Annexe Etat'!$H$2:$H$164)</f>
        <v>RA</v>
      </c>
      <c r="B72" s="55" t="str">
        <f aca="false">_xlfn.XLOOKUP(A72,'Annexe Etat'!$A$2:$A$164,'Annexe Etat'!$B$2:$B$164)</f>
        <v>Recherche et enseignement supérieur</v>
      </c>
      <c r="C72" s="62" t="n">
        <v>142</v>
      </c>
      <c r="D72" s="55" t="str">
        <f aca="false">_xlfn.XLOOKUP(C72,'Annexe Etat'!$I$2:$I$164,'Annexe Etat'!$J$2:$J$164)</f>
        <v>Enseignement supérieur et recherche agricoles</v>
      </c>
      <c r="E72" s="57" t="s">
        <v>103</v>
      </c>
      <c r="F72" s="58" t="n">
        <v>10</v>
      </c>
      <c r="G72" s="60" t="n">
        <f aca="false">H72+I72</f>
        <v>1451</v>
      </c>
      <c r="H72" s="60" t="n">
        <v>1137</v>
      </c>
      <c r="I72" s="60" t="n">
        <v>314</v>
      </c>
      <c r="J72" s="61" t="n">
        <f aca="false">K72+L72</f>
        <v>1127</v>
      </c>
      <c r="K72" s="61" t="n">
        <v>1127</v>
      </c>
      <c r="L72" s="59" t="n">
        <v>0</v>
      </c>
      <c r="Q72" s="0" t="s">
        <v>36</v>
      </c>
    </row>
    <row r="73" customFormat="false" ht="13.5" hidden="false" customHeight="false" outlineLevel="0" collapsed="false">
      <c r="A73" s="55" t="str">
        <f aca="false">_xlfn.XLOOKUP(C73,'Annexe Etat'!$I$2:$I$164,'Annexe Etat'!$H$2:$H$164)</f>
        <v>RA</v>
      </c>
      <c r="B73" s="55" t="str">
        <f aca="false">_xlfn.XLOOKUP(A73,'Annexe Etat'!$A$2:$A$164,'Annexe Etat'!$B$2:$B$164)</f>
        <v>Recherche et enseignement supérieur</v>
      </c>
      <c r="C73" s="56" t="n">
        <v>150</v>
      </c>
      <c r="D73" s="55" t="str">
        <f aca="false">_xlfn.XLOOKUP(C73,'Annexe Etat'!$I$2:$I$164,'Annexe Etat'!$J$2:$J$164)</f>
        <v>Formations supérieures et recherche universitaire</v>
      </c>
      <c r="E73" s="57" t="s">
        <v>104</v>
      </c>
      <c r="F73" s="58" t="n">
        <v>35</v>
      </c>
      <c r="G73" s="58" t="n">
        <f aca="false">H73+I73</f>
        <v>13338</v>
      </c>
      <c r="H73" s="60" t="n">
        <v>9964</v>
      </c>
      <c r="I73" s="60" t="n">
        <v>3374</v>
      </c>
      <c r="J73" s="59" t="n">
        <f aca="false">K73+L73</f>
        <v>13693</v>
      </c>
      <c r="K73" s="61" t="n">
        <v>9964</v>
      </c>
      <c r="L73" s="61" t="n">
        <v>3729</v>
      </c>
      <c r="Q73" s="0" t="s">
        <v>36</v>
      </c>
    </row>
    <row r="74" customFormat="false" ht="13.5" hidden="false" customHeight="false" outlineLevel="0" collapsed="false">
      <c r="A74" s="55" t="str">
        <f aca="false">_xlfn.XLOOKUP(C74,'Annexe Etat'!$I$2:$I$164,'Annexe Etat'!$H$2:$H$164)</f>
        <v>SF</v>
      </c>
      <c r="B74" s="55" t="str">
        <f aca="false">_xlfn.XLOOKUP(A74,'Annexe Etat'!$A$2:$A$164,'Annexe Etat'!$B$2:$B$164)</f>
        <v>Sport, jeunesse et vie associative</v>
      </c>
      <c r="C74" s="56" t="n">
        <v>219</v>
      </c>
      <c r="D74" s="55" t="str">
        <f aca="false">_xlfn.XLOOKUP(C74,'Annexe Etat'!$I$2:$I$164,'Annexe Etat'!$J$2:$J$164)</f>
        <v>Sport</v>
      </c>
      <c r="E74" s="57" t="s">
        <v>105</v>
      </c>
      <c r="F74" s="58" t="n">
        <v>2</v>
      </c>
      <c r="G74" s="58" t="n">
        <f aca="false">H74+I74</f>
        <v>200</v>
      </c>
      <c r="H74" s="58" t="n">
        <v>193</v>
      </c>
      <c r="I74" s="58" t="n">
        <v>7</v>
      </c>
      <c r="J74" s="59" t="n">
        <f aca="false">K74+L74</f>
        <v>199</v>
      </c>
      <c r="K74" s="59" t="n">
        <v>193</v>
      </c>
      <c r="L74" s="59" t="n">
        <v>6</v>
      </c>
      <c r="Q74" s="0" t="s">
        <v>36</v>
      </c>
    </row>
    <row r="75" customFormat="false" ht="25.5" hidden="false" customHeight="false" outlineLevel="0" collapsed="false">
      <c r="A75" s="55" t="str">
        <f aca="false">_xlfn.XLOOKUP(C75,'Annexe Etat'!$I$2:$I$164,'Annexe Etat'!$H$2:$H$164)</f>
        <v>DA</v>
      </c>
      <c r="B75" s="55" t="str">
        <f aca="false">_xlfn.XLOOKUP(A75,'Annexe Etat'!$A$2:$A$164,'Annexe Etat'!$B$2:$B$164)</f>
        <v>Défense</v>
      </c>
      <c r="C75" s="56" t="n">
        <v>212</v>
      </c>
      <c r="D75" s="55" t="str">
        <f aca="false">_xlfn.XLOOKUP(C75,'Annexe Etat'!$I$2:$I$164,'Annexe Etat'!$J$2:$J$164)</f>
        <v>Soutien de la politique de la défense</v>
      </c>
      <c r="E75" s="57" t="s">
        <v>106</v>
      </c>
      <c r="F75" s="58" t="n">
        <v>1</v>
      </c>
      <c r="G75" s="58" t="n">
        <f aca="false">H75+I75</f>
        <v>263</v>
      </c>
      <c r="H75" s="58" t="n">
        <v>257</v>
      </c>
      <c r="I75" s="58" t="n">
        <v>6</v>
      </c>
      <c r="J75" s="59" t="n">
        <f aca="false">K75+L75</f>
        <v>263</v>
      </c>
      <c r="K75" s="59" t="n">
        <v>257</v>
      </c>
      <c r="L75" s="59" t="n">
        <v>6</v>
      </c>
      <c r="N75" s="0" t="s">
        <v>36</v>
      </c>
    </row>
    <row r="76" customFormat="false" ht="13.5" hidden="false" customHeight="false" outlineLevel="0" collapsed="false">
      <c r="A76" s="55" t="str">
        <f aca="false">_xlfn.XLOOKUP(C76,'Annexe Etat'!$I$2:$I$164,'Annexe Etat'!$H$2:$H$164)</f>
        <v>XC</v>
      </c>
      <c r="B76" s="55" t="str">
        <f aca="false">_xlfn.XLOOKUP(A76,'Annexe Etat'!$A$2:$A$164,'Annexe Etat'!$B$2:$B$164)</f>
        <v>Contrôle et exploitation aériens</v>
      </c>
      <c r="C76" s="56" t="n">
        <v>613</v>
      </c>
      <c r="D76" s="55" t="str">
        <f aca="false">_xlfn.XLOOKUP(C76,'Annexe Etat'!$I$2:$I$164,'Annexe Etat'!$J$2:$J$164)</f>
        <v>Soutien aux prestations de l'aviation civile</v>
      </c>
      <c r="E76" s="57" t="s">
        <v>107</v>
      </c>
      <c r="F76" s="58" t="n">
        <v>1</v>
      </c>
      <c r="G76" s="58" t="n">
        <f aca="false">H76+I76</f>
        <v>929</v>
      </c>
      <c r="H76" s="58" t="n">
        <v>789</v>
      </c>
      <c r="I76" s="58" t="n">
        <v>140</v>
      </c>
      <c r="J76" s="59" t="n">
        <f aca="false">K76+L76</f>
        <v>922</v>
      </c>
      <c r="K76" s="59" t="n">
        <v>782</v>
      </c>
      <c r="L76" s="59" t="n">
        <v>140</v>
      </c>
      <c r="Q76" s="0" t="s">
        <v>36</v>
      </c>
    </row>
    <row r="77" customFormat="false" ht="13.5" hidden="false" customHeight="false" outlineLevel="0" collapsed="false">
      <c r="A77" s="55" t="str">
        <f aca="false">_xlfn.XLOOKUP(C77,'Annexe Etat'!$I$2:$I$164,'Annexe Etat'!$H$2:$H$164)</f>
        <v>JA</v>
      </c>
      <c r="B77" s="55" t="str">
        <f aca="false">_xlfn.XLOOKUP(A77,'Annexe Etat'!$A$2:$A$164,'Annexe Etat'!$B$2:$B$164)</f>
        <v>Justice</v>
      </c>
      <c r="C77" s="56" t="n">
        <v>107</v>
      </c>
      <c r="D77" s="55" t="str">
        <f aca="false">_xlfn.XLOOKUP(C77,'Annexe Etat'!$I$2:$I$164,'Annexe Etat'!$J$2:$J$164)</f>
        <v>Administration pénitentiaire</v>
      </c>
      <c r="E77" s="57" t="s">
        <v>108</v>
      </c>
      <c r="F77" s="58" t="n">
        <v>1</v>
      </c>
      <c r="G77" s="58" t="n">
        <f aca="false">H77+I77</f>
        <v>275</v>
      </c>
      <c r="H77" s="58" t="n">
        <v>275</v>
      </c>
      <c r="I77" s="58" t="n">
        <v>0</v>
      </c>
      <c r="J77" s="59" t="n">
        <f aca="false">K77+L77</f>
        <v>275</v>
      </c>
      <c r="K77" s="59" t="n">
        <v>275</v>
      </c>
      <c r="L77" s="59" t="n">
        <v>0</v>
      </c>
      <c r="Q77" s="0" t="s">
        <v>36</v>
      </c>
    </row>
    <row r="78" customFormat="false" ht="13.5" hidden="false" customHeight="false" outlineLevel="0" collapsed="false">
      <c r="A78" s="55" t="str">
        <f aca="false">_xlfn.XLOOKUP(C78,'Annexe Etat'!$I$2:$I$164,'Annexe Etat'!$H$2:$H$164)</f>
        <v>RB</v>
      </c>
      <c r="B78" s="55" t="str">
        <f aca="false">_xlfn.XLOOKUP(A78,'Annexe Etat'!$A$2:$A$164,'Annexe Etat'!$B$2:$B$164)</f>
        <v>Régimes sociaux et de retraite</v>
      </c>
      <c r="C78" s="56" t="n">
        <v>197</v>
      </c>
      <c r="D78" s="55" t="str">
        <f aca="false">_xlfn.XLOOKUP(C78,'Annexe Etat'!$I$2:$I$164,'Annexe Etat'!$J$2:$J$164)</f>
        <v>Régimes de retraite et de sécurité sociale des marins</v>
      </c>
      <c r="E78" s="57" t="s">
        <v>109</v>
      </c>
      <c r="F78" s="58" t="n">
        <v>1</v>
      </c>
      <c r="G78" s="58" t="n">
        <f aca="false">H78+I78</f>
        <v>293</v>
      </c>
      <c r="H78" s="58" t="n">
        <v>286</v>
      </c>
      <c r="I78" s="58" t="n">
        <v>7</v>
      </c>
      <c r="J78" s="59" t="n">
        <f aca="false">K78+L78</f>
        <v>290</v>
      </c>
      <c r="K78" s="59" t="n">
        <v>283</v>
      </c>
      <c r="L78" s="59" t="n">
        <v>7</v>
      </c>
      <c r="P78" s="64"/>
      <c r="R78" s="64" t="s">
        <v>36</v>
      </c>
    </row>
    <row r="79" customFormat="false" ht="13.5" hidden="false" customHeight="false" outlineLevel="0" collapsed="false">
      <c r="A79" s="55" t="str">
        <f aca="false">_xlfn.XLOOKUP(C79,'Annexe Etat'!$I$2:$I$164,'Annexe Etat'!$H$2:$H$164)</f>
        <v>JA</v>
      </c>
      <c r="B79" s="55" t="str">
        <f aca="false">_xlfn.XLOOKUP(A79,'Annexe Etat'!$A$2:$A$164,'Annexe Etat'!$B$2:$B$164)</f>
        <v>Justice</v>
      </c>
      <c r="C79" s="62" t="n">
        <v>166</v>
      </c>
      <c r="D79" s="55" t="str">
        <f aca="false">_xlfn.XLOOKUP(C79,'Annexe Etat'!$I$2:$I$164,'Annexe Etat'!$J$2:$J$164)</f>
        <v>Justice judiciaire</v>
      </c>
      <c r="E79" s="57" t="s">
        <v>110</v>
      </c>
      <c r="F79" s="58" t="n">
        <v>1</v>
      </c>
      <c r="G79" s="60" t="n">
        <f aca="false">H79+I79</f>
        <v>283</v>
      </c>
      <c r="H79" s="58" t="n">
        <v>283</v>
      </c>
      <c r="I79" s="58" t="n">
        <v>0</v>
      </c>
      <c r="J79" s="61" t="n">
        <f aca="false">K79+L79</f>
        <v>283</v>
      </c>
      <c r="K79" s="59" t="n">
        <v>283</v>
      </c>
      <c r="L79" s="59" t="n">
        <v>0</v>
      </c>
      <c r="Q79" s="0" t="s">
        <v>36</v>
      </c>
    </row>
    <row r="80" customFormat="false" ht="13.5" hidden="false" customHeight="false" outlineLevel="0" collapsed="false">
      <c r="A80" s="55" t="str">
        <f aca="false">_xlfn.XLOOKUP(C80,'Annexe Etat'!$I$2:$I$164,'Annexe Etat'!$H$2:$H$164)</f>
        <v>TA</v>
      </c>
      <c r="B80" s="55" t="str">
        <f aca="false">_xlfn.XLOOKUP(A80,'Annexe Etat'!$A$2:$A$164,'Annexe Etat'!$B$2:$B$164)</f>
        <v>Écologie, développement et mobilité durables</v>
      </c>
      <c r="C80" s="56" t="n">
        <v>217</v>
      </c>
      <c r="D80" s="55" t="str">
        <f aca="false">_xlfn.XLOOKUP(C80,'Annexe Etat'!$I$2:$I$164,'Annexe Etat'!$J$2:$J$164)</f>
        <v>Conduite et pilotage des politiques de l'écologie, du développement et de la mobilité durables</v>
      </c>
      <c r="E80" s="57" t="s">
        <v>111</v>
      </c>
      <c r="F80" s="58" t="n">
        <v>1</v>
      </c>
      <c r="G80" s="58" t="n">
        <f aca="false">H80+I80</f>
        <v>509</v>
      </c>
      <c r="H80" s="58" t="n">
        <v>309</v>
      </c>
      <c r="I80" s="58" t="n">
        <v>200</v>
      </c>
      <c r="J80" s="59" t="n">
        <f aca="false">K80+L80</f>
        <v>489</v>
      </c>
      <c r="K80" s="59" t="n">
        <v>307</v>
      </c>
      <c r="L80" s="59" t="n">
        <v>182</v>
      </c>
      <c r="Q80" s="0" t="s">
        <v>36</v>
      </c>
    </row>
    <row r="81" customFormat="false" ht="13.5" hidden="false" customHeight="false" outlineLevel="0" collapsed="false">
      <c r="A81" s="55" t="str">
        <f aca="false">_xlfn.XLOOKUP(C81,'Annexe Etat'!$I$2:$I$164,'Annexe Etat'!$H$2:$H$164)</f>
        <v>CB</v>
      </c>
      <c r="B81" s="55" t="str">
        <f aca="false">_xlfn.XLOOKUP(A81,'Annexe Etat'!$A$2:$A$164,'Annexe Etat'!$B$2:$B$164)</f>
        <v>Culture</v>
      </c>
      <c r="C81" s="56" t="n">
        <v>361</v>
      </c>
      <c r="D81" s="55" t="str">
        <f aca="false">_xlfn.XLOOKUP(C81,'Annexe Etat'!$I$2:$I$164,'Annexe Etat'!$J$2:$J$164)</f>
        <v>Transmission des savoirs et démocratisation de la culture</v>
      </c>
      <c r="E81" s="57" t="s">
        <v>112</v>
      </c>
      <c r="F81" s="58" t="n">
        <v>1</v>
      </c>
      <c r="G81" s="58" t="n">
        <f aca="false">H81+I81</f>
        <v>152</v>
      </c>
      <c r="H81" s="58" t="n">
        <v>152</v>
      </c>
      <c r="I81" s="58" t="n">
        <v>0</v>
      </c>
      <c r="J81" s="59" t="n">
        <f aca="false">K81+L81</f>
        <v>152</v>
      </c>
      <c r="K81" s="59" t="n">
        <v>152</v>
      </c>
      <c r="L81" s="59" t="n">
        <v>0</v>
      </c>
      <c r="Q81" s="0" t="s">
        <v>36</v>
      </c>
    </row>
    <row r="82" customFormat="false" ht="13.5" hidden="false" customHeight="false" outlineLevel="0" collapsed="false">
      <c r="A82" s="55" t="str">
        <f aca="false">_xlfn.XLOOKUP(C82,'Annexe Etat'!$I$2:$I$164,'Annexe Etat'!$H$2:$H$164)</f>
        <v>CB</v>
      </c>
      <c r="B82" s="55" t="str">
        <f aca="false">_xlfn.XLOOKUP(A82,'Annexe Etat'!$A$2:$A$164,'Annexe Etat'!$B$2:$B$164)</f>
        <v>Culture</v>
      </c>
      <c r="C82" s="56" t="n">
        <v>361</v>
      </c>
      <c r="D82" s="55" t="str">
        <f aca="false">_xlfn.XLOOKUP(C82,'Annexe Etat'!$I$2:$I$164,'Annexe Etat'!$J$2:$J$164)</f>
        <v>Transmission des savoirs et démocratisation de la culture</v>
      </c>
      <c r="E82" s="57" t="s">
        <v>113</v>
      </c>
      <c r="F82" s="58" t="n">
        <v>1</v>
      </c>
      <c r="G82" s="58" t="n">
        <f aca="false">H82+I82</f>
        <v>111</v>
      </c>
      <c r="H82" s="58" t="n">
        <v>111</v>
      </c>
      <c r="I82" s="58" t="n">
        <v>0</v>
      </c>
      <c r="J82" s="59" t="n">
        <f aca="false">K82+L82</f>
        <v>111</v>
      </c>
      <c r="K82" s="59" t="n">
        <v>111</v>
      </c>
      <c r="L82" s="59" t="n">
        <v>0</v>
      </c>
      <c r="Q82" s="0" t="s">
        <v>36</v>
      </c>
    </row>
    <row r="83" customFormat="false" ht="13.5" hidden="false" customHeight="false" outlineLevel="0" collapsed="false">
      <c r="A83" s="55" t="str">
        <f aca="false">_xlfn.XLOOKUP(C83,'Annexe Etat'!$I$2:$I$164,'Annexe Etat'!$H$2:$H$164)</f>
        <v>CB</v>
      </c>
      <c r="B83" s="55" t="str">
        <f aca="false">_xlfn.XLOOKUP(A83,'Annexe Etat'!$A$2:$A$164,'Annexe Etat'!$B$2:$B$164)</f>
        <v>Culture</v>
      </c>
      <c r="C83" s="56" t="n">
        <v>361</v>
      </c>
      <c r="D83" s="55" t="str">
        <f aca="false">_xlfn.XLOOKUP(C83,'Annexe Etat'!$I$2:$I$164,'Annexe Etat'!$J$2:$J$164)</f>
        <v>Transmission des savoirs et démocratisation de la culture</v>
      </c>
      <c r="E83" s="57" t="s">
        <v>114</v>
      </c>
      <c r="F83" s="58" t="n">
        <v>1</v>
      </c>
      <c r="G83" s="58" t="n">
        <f aca="false">H83+I83</f>
        <v>68</v>
      </c>
      <c r="H83" s="58" t="n">
        <v>68</v>
      </c>
      <c r="I83" s="58" t="n">
        <v>0</v>
      </c>
      <c r="J83" s="59" t="n">
        <f aca="false">K83+L83</f>
        <v>68</v>
      </c>
      <c r="K83" s="59" t="n">
        <v>68</v>
      </c>
      <c r="L83" s="59" t="n">
        <v>0</v>
      </c>
      <c r="Q83" s="0" t="s">
        <v>36</v>
      </c>
    </row>
    <row r="84" customFormat="false" ht="13.5" hidden="false" customHeight="false" outlineLevel="0" collapsed="false">
      <c r="A84" s="55" t="str">
        <f aca="false">_xlfn.XLOOKUP(C84,'Annexe Etat'!$I$2:$I$164,'Annexe Etat'!$H$2:$H$164)</f>
        <v>CB</v>
      </c>
      <c r="B84" s="55" t="str">
        <f aca="false">_xlfn.XLOOKUP(A84,'Annexe Etat'!$A$2:$A$164,'Annexe Etat'!$B$2:$B$164)</f>
        <v>Culture</v>
      </c>
      <c r="C84" s="56" t="n">
        <v>131</v>
      </c>
      <c r="D84" s="55" t="str">
        <f aca="false">_xlfn.XLOOKUP(C84,'Annexe Etat'!$I$2:$I$164,'Annexe Etat'!$J$2:$J$164)</f>
        <v>Création</v>
      </c>
      <c r="E84" s="57" t="s">
        <v>115</v>
      </c>
      <c r="F84" s="58" t="n">
        <v>1</v>
      </c>
      <c r="G84" s="58" t="n">
        <f aca="false">H84+I84</f>
        <v>46</v>
      </c>
      <c r="H84" s="58" t="n">
        <v>46</v>
      </c>
      <c r="I84" s="58" t="n">
        <v>0</v>
      </c>
      <c r="J84" s="59" t="n">
        <f aca="false">K84+L84</f>
        <v>46</v>
      </c>
      <c r="K84" s="59" t="n">
        <v>46</v>
      </c>
      <c r="L84" s="59" t="n">
        <v>0</v>
      </c>
      <c r="N84" s="0" t="s">
        <v>36</v>
      </c>
    </row>
    <row r="85" customFormat="false" ht="13.5" hidden="false" customHeight="false" outlineLevel="0" collapsed="false">
      <c r="A85" s="55" t="str">
        <f aca="false">_xlfn.XLOOKUP(C85,'Annexe Etat'!$I$2:$I$164,'Annexe Etat'!$H$2:$H$164)</f>
        <v>TA</v>
      </c>
      <c r="B85" s="55" t="str">
        <f aca="false">_xlfn.XLOOKUP(A85,'Annexe Etat'!$A$2:$A$164,'Annexe Etat'!$B$2:$B$164)</f>
        <v>Écologie, développement et mobilité durables</v>
      </c>
      <c r="C85" s="56" t="n">
        <v>205</v>
      </c>
      <c r="D85" s="55" t="str">
        <f aca="false">_xlfn.XLOOKUP(C85,'Annexe Etat'!$I$2:$I$164,'Annexe Etat'!$J$2:$J$164)</f>
        <v>Affaires maritimes, pêche et aquaculture</v>
      </c>
      <c r="E85" s="57" t="s">
        <v>116</v>
      </c>
      <c r="F85" s="58" t="n">
        <v>1</v>
      </c>
      <c r="G85" s="58" t="n">
        <f aca="false">H85+I85</f>
        <v>239</v>
      </c>
      <c r="H85" s="58" t="n">
        <v>239</v>
      </c>
      <c r="I85" s="58" t="n">
        <v>0</v>
      </c>
      <c r="J85" s="59" t="n">
        <f aca="false">K85+L85</f>
        <v>249</v>
      </c>
      <c r="K85" s="59" t="n">
        <v>239</v>
      </c>
      <c r="L85" s="59" t="n">
        <v>10</v>
      </c>
      <c r="Q85" s="0" t="s">
        <v>36</v>
      </c>
    </row>
    <row r="86" customFormat="false" ht="25.5" hidden="false" customHeight="false" outlineLevel="0" collapsed="false">
      <c r="A86" s="55" t="str">
        <f aca="false">_xlfn.XLOOKUP(C86,'Annexe Etat'!$I$2:$I$164,'Annexe Etat'!$H$2:$H$164)</f>
        <v>CB</v>
      </c>
      <c r="B86" s="55" t="str">
        <f aca="false">_xlfn.XLOOKUP(A86,'Annexe Etat'!$A$2:$A$164,'Annexe Etat'!$B$2:$B$164)</f>
        <v>Culture</v>
      </c>
      <c r="C86" s="56" t="n">
        <v>361</v>
      </c>
      <c r="D86" s="55" t="str">
        <f aca="false">_xlfn.XLOOKUP(C86,'Annexe Etat'!$I$2:$I$164,'Annexe Etat'!$J$2:$J$164)</f>
        <v>Transmission des savoirs et démocratisation de la culture</v>
      </c>
      <c r="E86" s="57" t="s">
        <v>117</v>
      </c>
      <c r="F86" s="58" t="n">
        <v>1</v>
      </c>
      <c r="G86" s="58" t="n">
        <f aca="false">H86+I86</f>
        <v>69</v>
      </c>
      <c r="H86" s="58" t="n">
        <v>69</v>
      </c>
      <c r="I86" s="58" t="n">
        <v>0</v>
      </c>
      <c r="J86" s="59" t="n">
        <f aca="false">K86+L86</f>
        <v>69</v>
      </c>
      <c r="K86" s="59" t="n">
        <v>69</v>
      </c>
      <c r="L86" s="59" t="n">
        <v>0</v>
      </c>
      <c r="Q86" s="0" t="s">
        <v>36</v>
      </c>
    </row>
    <row r="87" customFormat="false" ht="13.5" hidden="false" customHeight="false" outlineLevel="0" collapsed="false">
      <c r="A87" s="55" t="str">
        <f aca="false">_xlfn.XLOOKUP(C87,'Annexe Etat'!$I$2:$I$164,'Annexe Etat'!$H$2:$H$164)</f>
        <v>SB</v>
      </c>
      <c r="B87" s="55" t="str">
        <f aca="false">_xlfn.XLOOKUP(A87,'Annexe Etat'!$A$2:$A$164,'Annexe Etat'!$B$2:$B$164)</f>
        <v>Sécurités</v>
      </c>
      <c r="C87" s="56" t="n">
        <v>176</v>
      </c>
      <c r="D87" s="55" t="str">
        <f aca="false">_xlfn.XLOOKUP(C87,'Annexe Etat'!$I$2:$I$164,'Annexe Etat'!$J$2:$J$164)</f>
        <v>Police nationale</v>
      </c>
      <c r="E87" s="57" t="s">
        <v>118</v>
      </c>
      <c r="F87" s="58" t="n">
        <v>1</v>
      </c>
      <c r="G87" s="58" t="n">
        <f aca="false">H87+I87</f>
        <v>298</v>
      </c>
      <c r="H87" s="58" t="n">
        <v>290</v>
      </c>
      <c r="I87" s="58" t="n">
        <v>8</v>
      </c>
      <c r="J87" s="59" t="n">
        <f aca="false">K87+L87</f>
        <v>298</v>
      </c>
      <c r="K87" s="59" t="n">
        <v>290</v>
      </c>
      <c r="L87" s="59" t="n">
        <v>8</v>
      </c>
      <c r="Q87" s="0" t="s">
        <v>36</v>
      </c>
    </row>
    <row r="88" customFormat="false" ht="13.5" hidden="false" customHeight="false" outlineLevel="0" collapsed="false">
      <c r="A88" s="55" t="str">
        <f aca="false">_xlfn.XLOOKUP(C88,'Annexe Etat'!$I$2:$I$164,'Annexe Etat'!$H$2:$H$164)</f>
        <v>DA</v>
      </c>
      <c r="B88" s="55" t="str">
        <f aca="false">_xlfn.XLOOKUP(A88,'Annexe Etat'!$A$2:$A$164,'Annexe Etat'!$B$2:$B$164)</f>
        <v>Défense</v>
      </c>
      <c r="C88" s="56" t="n">
        <v>144</v>
      </c>
      <c r="D88" s="55" t="str">
        <f aca="false">_xlfn.XLOOKUP(C88,'Annexe Etat'!$I$2:$I$164,'Annexe Etat'!$J$2:$J$164)</f>
        <v>Environnement et prospective de la politique de défense</v>
      </c>
      <c r="E88" s="57" t="s">
        <v>119</v>
      </c>
      <c r="F88" s="58" t="n">
        <v>1</v>
      </c>
      <c r="G88" s="58" t="n">
        <f aca="false">H88+I88</f>
        <v>514</v>
      </c>
      <c r="H88" s="58" t="n">
        <v>364</v>
      </c>
      <c r="I88" s="58" t="n">
        <v>150</v>
      </c>
      <c r="J88" s="59" t="n">
        <f aca="false">K88+L88</f>
        <v>538</v>
      </c>
      <c r="K88" s="59" t="n">
        <v>368</v>
      </c>
      <c r="L88" s="59" t="n">
        <v>170</v>
      </c>
      <c r="Q88" s="0" t="s">
        <v>36</v>
      </c>
    </row>
    <row r="89" customFormat="false" ht="13.5" hidden="false" customHeight="false" outlineLevel="0" collapsed="false">
      <c r="A89" s="55" t="str">
        <f aca="false">_xlfn.XLOOKUP(C89,'Annexe Etat'!$I$2:$I$164,'Annexe Etat'!$H$2:$H$164)</f>
        <v>TA</v>
      </c>
      <c r="B89" s="55" t="str">
        <f aca="false">_xlfn.XLOOKUP(A89,'Annexe Etat'!$A$2:$A$164,'Annexe Etat'!$B$2:$B$164)</f>
        <v>Écologie, développement et mobilité durables</v>
      </c>
      <c r="C89" s="56" t="n">
        <v>217</v>
      </c>
      <c r="D89" s="55" t="str">
        <f aca="false">_xlfn.XLOOKUP(C89,'Annexe Etat'!$I$2:$I$164,'Annexe Etat'!$J$2:$J$164)</f>
        <v>Conduite et pilotage des politiques de l'écologie, du développement et de la mobilité durables</v>
      </c>
      <c r="E89" s="57" t="s">
        <v>120</v>
      </c>
      <c r="F89" s="58" t="n">
        <v>1</v>
      </c>
      <c r="G89" s="58" t="n">
        <f aca="false">H89+I89</f>
        <v>233</v>
      </c>
      <c r="H89" s="58" t="n">
        <v>183</v>
      </c>
      <c r="I89" s="58" t="n">
        <v>50</v>
      </c>
      <c r="J89" s="59" t="n">
        <f aca="false">K89+L89</f>
        <v>223</v>
      </c>
      <c r="K89" s="59" t="n">
        <v>181</v>
      </c>
      <c r="L89" s="59" t="n">
        <v>42</v>
      </c>
      <c r="Q89" s="0" t="s">
        <v>36</v>
      </c>
    </row>
    <row r="90" customFormat="false" ht="25.5" hidden="false" customHeight="false" outlineLevel="0" collapsed="false">
      <c r="A90" s="55" t="str">
        <f aca="false">_xlfn.XLOOKUP(C90,'Annexe Etat'!$I$2:$I$164,'Annexe Etat'!$H$2:$H$164)</f>
        <v>CB</v>
      </c>
      <c r="B90" s="55" t="str">
        <f aca="false">_xlfn.XLOOKUP(A90,'Annexe Etat'!$A$2:$A$164,'Annexe Etat'!$B$2:$B$164)</f>
        <v>Culture</v>
      </c>
      <c r="C90" s="56" t="n">
        <v>131</v>
      </c>
      <c r="D90" s="55" t="str">
        <f aca="false">_xlfn.XLOOKUP(C90,'Annexe Etat'!$I$2:$I$164,'Annexe Etat'!$J$2:$J$164)</f>
        <v>Création</v>
      </c>
      <c r="E90" s="57" t="s">
        <v>121</v>
      </c>
      <c r="F90" s="58" t="n">
        <v>1</v>
      </c>
      <c r="G90" s="58" t="n">
        <f aca="false">H90+I90</f>
        <v>498</v>
      </c>
      <c r="H90" s="58" t="n">
        <v>498</v>
      </c>
      <c r="I90" s="58" t="n">
        <v>0</v>
      </c>
      <c r="J90" s="59" t="n">
        <f aca="false">K90+L90</f>
        <v>496</v>
      </c>
      <c r="K90" s="59" t="n">
        <v>496</v>
      </c>
      <c r="L90" s="59" t="n">
        <v>0</v>
      </c>
      <c r="P90" s="0" t="s">
        <v>36</v>
      </c>
    </row>
    <row r="91" customFormat="false" ht="13.5" hidden="false" customHeight="false" outlineLevel="0" collapsed="false">
      <c r="A91" s="55" t="str">
        <f aca="false">_xlfn.XLOOKUP(C91,'Annexe Etat'!$I$2:$I$164,'Annexe Etat'!$H$2:$H$164)</f>
        <v>TB</v>
      </c>
      <c r="B91" s="55" t="str">
        <f aca="false">_xlfn.XLOOKUP(A91,'Annexe Etat'!$A$2:$A$164,'Annexe Etat'!$B$2:$B$164)</f>
        <v>Travail, emploi et administration des ministères sociaux</v>
      </c>
      <c r="C91" s="62" t="n">
        <v>102</v>
      </c>
      <c r="D91" s="55" t="str">
        <f aca="false">_xlfn.XLOOKUP(C91,'Annexe Etat'!$I$2:$I$164,'Annexe Etat'!$J$2:$J$164)</f>
        <v>Accès et retour à l'emploi</v>
      </c>
      <c r="E91" s="57" t="s">
        <v>122</v>
      </c>
      <c r="F91" s="58" t="n">
        <v>1</v>
      </c>
      <c r="G91" s="60" t="n">
        <f aca="false">H91+I91</f>
        <v>1142</v>
      </c>
      <c r="H91" s="60" t="n">
        <v>1142</v>
      </c>
      <c r="I91" s="58" t="n">
        <v>0</v>
      </c>
      <c r="J91" s="61" t="n">
        <f aca="false">K91+L91</f>
        <v>1142</v>
      </c>
      <c r="K91" s="61" t="n">
        <v>1142</v>
      </c>
      <c r="L91" s="59" t="n">
        <v>0</v>
      </c>
      <c r="Q91" s="0" t="s">
        <v>36</v>
      </c>
    </row>
    <row r="92" customFormat="false" ht="13.5" hidden="false" customHeight="false" outlineLevel="0" collapsed="false">
      <c r="A92" s="55" t="str">
        <f aca="false">_xlfn.XLOOKUP(C92,'Annexe Etat'!$I$2:$I$164,'Annexe Etat'!$H$2:$H$164)</f>
        <v>CB</v>
      </c>
      <c r="B92" s="55" t="str">
        <f aca="false">_xlfn.XLOOKUP(A92,'Annexe Etat'!$A$2:$A$164,'Annexe Etat'!$B$2:$B$164)</f>
        <v>Culture</v>
      </c>
      <c r="C92" s="56" t="n">
        <v>175</v>
      </c>
      <c r="D92" s="55" t="str">
        <f aca="false">_xlfn.XLOOKUP(C92,'Annexe Etat'!$I$2:$I$164,'Annexe Etat'!$J$2:$J$164)</f>
        <v>Patrimoines</v>
      </c>
      <c r="E92" s="57" t="s">
        <v>123</v>
      </c>
      <c r="F92" s="58" t="n">
        <v>1</v>
      </c>
      <c r="G92" s="58" t="n">
        <f aca="false">H92+I92</f>
        <v>247</v>
      </c>
      <c r="H92" s="58" t="n">
        <v>247</v>
      </c>
      <c r="I92" s="58" t="n">
        <v>0</v>
      </c>
      <c r="J92" s="59" t="n">
        <f aca="false">K92+L92</f>
        <v>246</v>
      </c>
      <c r="K92" s="59" t="n">
        <v>246</v>
      </c>
      <c r="L92" s="59" t="n">
        <v>0</v>
      </c>
      <c r="P92" s="0" t="s">
        <v>36</v>
      </c>
    </row>
    <row r="93" customFormat="false" ht="13.5" hidden="false" customHeight="false" outlineLevel="0" collapsed="false">
      <c r="A93" s="55" t="str">
        <f aca="false">_xlfn.XLOOKUP(C93,'Annexe Etat'!$I$2:$I$164,'Annexe Etat'!$H$2:$H$164)</f>
        <v>CB</v>
      </c>
      <c r="B93" s="55" t="str">
        <f aca="false">_xlfn.XLOOKUP(A93,'Annexe Etat'!$A$2:$A$164,'Annexe Etat'!$B$2:$B$164)</f>
        <v>Culture</v>
      </c>
      <c r="C93" s="56" t="n">
        <v>175</v>
      </c>
      <c r="D93" s="55" t="str">
        <f aca="false">_xlfn.XLOOKUP(C93,'Annexe Etat'!$I$2:$I$164,'Annexe Etat'!$J$2:$J$164)</f>
        <v>Patrimoines</v>
      </c>
      <c r="E93" s="57" t="s">
        <v>124</v>
      </c>
      <c r="F93" s="58" t="n">
        <v>1</v>
      </c>
      <c r="G93" s="58" t="n">
        <f aca="false">H93+I93</f>
        <v>19</v>
      </c>
      <c r="H93" s="58" t="n">
        <v>16</v>
      </c>
      <c r="I93" s="58" t="n">
        <v>3</v>
      </c>
      <c r="J93" s="59" t="n">
        <f aca="false">K93+L93</f>
        <v>19</v>
      </c>
      <c r="K93" s="59" t="n">
        <v>16</v>
      </c>
      <c r="L93" s="59" t="n">
        <v>3</v>
      </c>
      <c r="P93" s="0" t="s">
        <v>36</v>
      </c>
    </row>
    <row r="94" customFormat="false" ht="13.5" hidden="false" customHeight="false" outlineLevel="0" collapsed="false">
      <c r="A94" s="55" t="str">
        <f aca="false">_xlfn.XLOOKUP(C94,'Annexe Etat'!$I$2:$I$164,'Annexe Etat'!$H$2:$H$164)</f>
        <v>CB</v>
      </c>
      <c r="B94" s="55" t="str">
        <f aca="false">_xlfn.XLOOKUP(A94,'Annexe Etat'!$A$2:$A$164,'Annexe Etat'!$B$2:$B$164)</f>
        <v>Culture</v>
      </c>
      <c r="C94" s="56" t="n">
        <v>175</v>
      </c>
      <c r="D94" s="55" t="str">
        <f aca="false">_xlfn.XLOOKUP(C94,'Annexe Etat'!$I$2:$I$164,'Annexe Etat'!$J$2:$J$164)</f>
        <v>Patrimoines</v>
      </c>
      <c r="E94" s="57" t="s">
        <v>125</v>
      </c>
      <c r="F94" s="58" t="n">
        <v>1</v>
      </c>
      <c r="G94" s="58" t="n">
        <f aca="false">H94+I94</f>
        <v>79</v>
      </c>
      <c r="H94" s="58" t="n">
        <v>75</v>
      </c>
      <c r="I94" s="58" t="n">
        <v>4</v>
      </c>
      <c r="J94" s="59" t="n">
        <f aca="false">K94+L94</f>
        <v>79</v>
      </c>
      <c r="K94" s="59" t="n">
        <v>75</v>
      </c>
      <c r="L94" s="59" t="n">
        <v>4</v>
      </c>
      <c r="P94" s="0" t="s">
        <v>36</v>
      </c>
    </row>
    <row r="95" customFormat="false" ht="25.5" hidden="false" customHeight="false" outlineLevel="0" collapsed="false">
      <c r="A95" s="55" t="str">
        <f aca="false">_xlfn.XLOOKUP(C95,'Annexe Etat'!$I$2:$I$164,'Annexe Etat'!$H$2:$H$164)</f>
        <v>CB</v>
      </c>
      <c r="B95" s="55" t="str">
        <f aca="false">_xlfn.XLOOKUP(A95,'Annexe Etat'!$A$2:$A$164,'Annexe Etat'!$B$2:$B$164)</f>
        <v>Culture</v>
      </c>
      <c r="C95" s="56" t="n">
        <v>131</v>
      </c>
      <c r="D95" s="55" t="str">
        <f aca="false">_xlfn.XLOOKUP(C95,'Annexe Etat'!$I$2:$I$164,'Annexe Etat'!$J$2:$J$164)</f>
        <v>Création</v>
      </c>
      <c r="E95" s="57" t="s">
        <v>126</v>
      </c>
      <c r="F95" s="58" t="n">
        <v>1</v>
      </c>
      <c r="G95" s="58" t="n">
        <f aca="false">H95+I95</f>
        <v>215</v>
      </c>
      <c r="H95" s="58" t="n">
        <v>215</v>
      </c>
      <c r="I95" s="58" t="n">
        <v>0</v>
      </c>
      <c r="J95" s="59" t="n">
        <f aca="false">K95+L95</f>
        <v>215</v>
      </c>
      <c r="K95" s="59" t="n">
        <v>215</v>
      </c>
      <c r="L95" s="59" t="n">
        <v>0</v>
      </c>
      <c r="P95" s="0" t="s">
        <v>36</v>
      </c>
    </row>
    <row r="96" customFormat="false" ht="25.5" hidden="false" customHeight="false" outlineLevel="0" collapsed="false">
      <c r="A96" s="55" t="str">
        <f aca="false">_xlfn.XLOOKUP(C96,'Annexe Etat'!$I$2:$I$164,'Annexe Etat'!$H$2:$H$164)</f>
        <v>CB</v>
      </c>
      <c r="B96" s="55" t="str">
        <f aca="false">_xlfn.XLOOKUP(A96,'Annexe Etat'!$A$2:$A$164,'Annexe Etat'!$B$2:$B$164)</f>
        <v>Culture</v>
      </c>
      <c r="C96" s="56" t="n">
        <v>175</v>
      </c>
      <c r="D96" s="55" t="str">
        <f aca="false">_xlfn.XLOOKUP(C96,'Annexe Etat'!$I$2:$I$164,'Annexe Etat'!$J$2:$J$164)</f>
        <v>Patrimoines</v>
      </c>
      <c r="E96" s="57" t="s">
        <v>127</v>
      </c>
      <c r="F96" s="58" t="n">
        <v>1</v>
      </c>
      <c r="G96" s="58" t="n">
        <f aca="false">H96+I96</f>
        <v>35</v>
      </c>
      <c r="H96" s="58" t="n">
        <v>32</v>
      </c>
      <c r="I96" s="58" t="n">
        <v>3</v>
      </c>
      <c r="J96" s="59" t="n">
        <f aca="false">K96+L96</f>
        <v>34</v>
      </c>
      <c r="K96" s="59" t="n">
        <v>31</v>
      </c>
      <c r="L96" s="59" t="n">
        <v>3</v>
      </c>
      <c r="P96" s="0" t="s">
        <v>36</v>
      </c>
    </row>
    <row r="97" customFormat="false" ht="13.5" hidden="false" customHeight="false" outlineLevel="0" collapsed="false">
      <c r="A97" s="55" t="str">
        <f aca="false">_xlfn.XLOOKUP(C97,'Annexe Etat'!$I$2:$I$164,'Annexe Etat'!$H$2:$H$164)</f>
        <v>TA</v>
      </c>
      <c r="B97" s="55" t="str">
        <f aca="false">_xlfn.XLOOKUP(A97,'Annexe Etat'!$A$2:$A$164,'Annexe Etat'!$B$2:$B$164)</f>
        <v>Écologie, développement et mobilité durables</v>
      </c>
      <c r="C97" s="56" t="n">
        <v>203</v>
      </c>
      <c r="D97" s="55" t="str">
        <f aca="false">_xlfn.XLOOKUP(C97,'Annexe Etat'!$I$2:$I$164,'Annexe Etat'!$J$2:$J$164)</f>
        <v>Infrastructures et services de transports</v>
      </c>
      <c r="E97" s="57" t="s">
        <v>128</v>
      </c>
      <c r="F97" s="58" t="n">
        <v>1</v>
      </c>
      <c r="G97" s="58" t="n">
        <f aca="false">H97+I97</f>
        <v>106</v>
      </c>
      <c r="H97" s="58" t="n">
        <v>106</v>
      </c>
      <c r="I97" s="58" t="n">
        <v>0</v>
      </c>
      <c r="J97" s="59" t="n">
        <f aca="false">K97+L97</f>
        <v>106</v>
      </c>
      <c r="K97" s="59" t="n">
        <v>106</v>
      </c>
      <c r="L97" s="59" t="n">
        <v>0</v>
      </c>
      <c r="R97" s="0" t="s">
        <v>36</v>
      </c>
    </row>
    <row r="98" customFormat="false" ht="25.5" hidden="false" customHeight="false" outlineLevel="0" collapsed="false">
      <c r="A98" s="55" t="str">
        <f aca="false">_xlfn.XLOOKUP(C98,'Annexe Etat'!$I$2:$I$164,'Annexe Etat'!$H$2:$H$164)</f>
        <v>CB</v>
      </c>
      <c r="B98" s="55" t="str">
        <f aca="false">_xlfn.XLOOKUP(A98,'Annexe Etat'!$A$2:$A$164,'Annexe Etat'!$B$2:$B$164)</f>
        <v>Culture</v>
      </c>
      <c r="C98" s="56" t="n">
        <v>175</v>
      </c>
      <c r="D98" s="55" t="str">
        <f aca="false">_xlfn.XLOOKUP(C98,'Annexe Etat'!$I$2:$I$164,'Annexe Etat'!$J$2:$J$164)</f>
        <v>Patrimoines</v>
      </c>
      <c r="E98" s="57" t="s">
        <v>129</v>
      </c>
      <c r="F98" s="58" t="n">
        <v>1</v>
      </c>
      <c r="G98" s="58" t="n">
        <f aca="false">H98+I98</f>
        <v>1032</v>
      </c>
      <c r="H98" s="58" t="n">
        <v>951</v>
      </c>
      <c r="I98" s="58" t="n">
        <v>81</v>
      </c>
      <c r="J98" s="59" t="n">
        <f aca="false">K98+L98</f>
        <v>1029</v>
      </c>
      <c r="K98" s="59" t="n">
        <v>948</v>
      </c>
      <c r="L98" s="59" t="n">
        <v>81</v>
      </c>
      <c r="P98" s="0" t="s">
        <v>36</v>
      </c>
    </row>
    <row r="99" customFormat="false" ht="13.5" hidden="false" customHeight="false" outlineLevel="0" collapsed="false">
      <c r="A99" s="55" t="str">
        <f aca="false">_xlfn.XLOOKUP(C99,'Annexe Etat'!$I$2:$I$164,'Annexe Etat'!$H$2:$H$164)</f>
        <v>CB</v>
      </c>
      <c r="B99" s="55" t="str">
        <f aca="false">_xlfn.XLOOKUP(A99,'Annexe Etat'!$A$2:$A$164,'Annexe Etat'!$B$2:$B$164)</f>
        <v>Culture</v>
      </c>
      <c r="C99" s="56" t="n">
        <v>175</v>
      </c>
      <c r="D99" s="55" t="str">
        <f aca="false">_xlfn.XLOOKUP(C99,'Annexe Etat'!$I$2:$I$164,'Annexe Etat'!$J$2:$J$164)</f>
        <v>Patrimoines</v>
      </c>
      <c r="E99" s="57" t="s">
        <v>130</v>
      </c>
      <c r="F99" s="58" t="n">
        <v>1</v>
      </c>
      <c r="G99" s="58" t="n">
        <f aca="false">H99+I99</f>
        <v>12</v>
      </c>
      <c r="H99" s="58" t="n">
        <v>8</v>
      </c>
      <c r="I99" s="58" t="n">
        <v>4</v>
      </c>
      <c r="J99" s="59" t="n">
        <f aca="false">K99+L99</f>
        <v>12</v>
      </c>
      <c r="K99" s="59" t="n">
        <v>8</v>
      </c>
      <c r="L99" s="59" t="n">
        <v>4</v>
      </c>
      <c r="P99" s="0" t="s">
        <v>36</v>
      </c>
    </row>
    <row r="100" customFormat="false" ht="13.5" hidden="false" customHeight="false" outlineLevel="0" collapsed="false">
      <c r="A100" s="55" t="str">
        <f aca="false">_xlfn.XLOOKUP(C100,'Annexe Etat'!$I$2:$I$164,'Annexe Etat'!$H$2:$H$164)</f>
        <v>TA</v>
      </c>
      <c r="B100" s="55" t="str">
        <f aca="false">_xlfn.XLOOKUP(A100,'Annexe Etat'!$A$2:$A$164,'Annexe Etat'!$B$2:$B$164)</f>
        <v>Écologie, développement et mobilité durables</v>
      </c>
      <c r="C100" s="56" t="n">
        <v>113</v>
      </c>
      <c r="D100" s="55" t="str">
        <f aca="false">_xlfn.XLOOKUP(C100,'Annexe Etat'!$I$2:$I$164,'Annexe Etat'!$J$2:$J$164)</f>
        <v>Paysages, eau et biodiversité</v>
      </c>
      <c r="E100" s="57" t="s">
        <v>131</v>
      </c>
      <c r="F100" s="58" t="n">
        <v>1</v>
      </c>
      <c r="G100" s="58" t="n">
        <f aca="false">H100+I100</f>
        <v>9</v>
      </c>
      <c r="H100" s="58" t="n">
        <v>9</v>
      </c>
      <c r="I100" s="58" t="n">
        <v>0</v>
      </c>
      <c r="J100" s="59" t="n">
        <f aca="false">K100+L100</f>
        <v>8</v>
      </c>
      <c r="K100" s="59" t="n">
        <v>8</v>
      </c>
      <c r="L100" s="59" t="n">
        <v>0</v>
      </c>
      <c r="O100" s="0" t="s">
        <v>36</v>
      </c>
    </row>
    <row r="101" customFormat="false" ht="13.5" hidden="false" customHeight="false" outlineLevel="0" collapsed="false">
      <c r="A101" s="55" t="str">
        <f aca="false">_xlfn.XLOOKUP(C101,'Annexe Etat'!$I$2:$I$164,'Annexe Etat'!$H$2:$H$164)</f>
        <v>EC</v>
      </c>
      <c r="B101" s="55" t="str">
        <f aca="false">_xlfn.XLOOKUP(A101,'Annexe Etat'!$A$2:$A$164,'Annexe Etat'!$B$2:$B$164)</f>
        <v>Enseignement scolaire</v>
      </c>
      <c r="C101" s="56" t="n">
        <v>214</v>
      </c>
      <c r="D101" s="55" t="str">
        <f aca="false">_xlfn.XLOOKUP(C101,'Annexe Etat'!$I$2:$I$164,'Annexe Etat'!$J$2:$J$164)</f>
        <v>Soutien de la politique de l'éducation nationale</v>
      </c>
      <c r="E101" s="57" t="s">
        <v>132</v>
      </c>
      <c r="F101" s="58" t="n">
        <v>1</v>
      </c>
      <c r="G101" s="58" t="n">
        <f aca="false">H101+I101</f>
        <v>277</v>
      </c>
      <c r="H101" s="58" t="n">
        <v>251</v>
      </c>
      <c r="I101" s="58" t="n">
        <v>26</v>
      </c>
      <c r="J101" s="59" t="n">
        <f aca="false">K101+L101</f>
        <v>281</v>
      </c>
      <c r="K101" s="59" t="n">
        <v>251</v>
      </c>
      <c r="L101" s="59" t="n">
        <v>30</v>
      </c>
      <c r="O101" s="0" t="s">
        <v>36</v>
      </c>
    </row>
    <row r="102" customFormat="false" ht="13.5" hidden="false" customHeight="false" outlineLevel="0" collapsed="false">
      <c r="A102" s="55" t="str">
        <f aca="false">_xlfn.XLOOKUP(C102,'Annexe Etat'!$I$2:$I$164,'Annexe Etat'!$H$2:$H$164)</f>
        <v>VA</v>
      </c>
      <c r="B102" s="55" t="str">
        <f aca="false">_xlfn.XLOOKUP(A102,'Annexe Etat'!$A$2:$A$164,'Annexe Etat'!$B$2:$B$164)</f>
        <v>Cohésion des territoires</v>
      </c>
      <c r="C102" s="56" t="n">
        <v>135</v>
      </c>
      <c r="D102" s="55" t="str">
        <f aca="false">_xlfn.XLOOKUP(C102,'Annexe Etat'!$I$2:$I$164,'Annexe Etat'!$J$2:$J$164)</f>
        <v>Urbanisme, territoires et amélioration de l'habitat</v>
      </c>
      <c r="E102" s="57" t="s">
        <v>133</v>
      </c>
      <c r="F102" s="58" t="n">
        <v>1</v>
      </c>
      <c r="G102" s="58" t="n">
        <f aca="false">H102+I102</f>
        <v>0</v>
      </c>
      <c r="H102" s="58" t="n">
        <v>0</v>
      </c>
      <c r="I102" s="58" t="n">
        <v>0</v>
      </c>
      <c r="J102" s="59" t="n">
        <f aca="false">K102+L102</f>
        <v>0</v>
      </c>
      <c r="K102" s="59" t="n">
        <v>0</v>
      </c>
      <c r="L102" s="59" t="n">
        <v>0</v>
      </c>
      <c r="O102" s="0" t="s">
        <v>36</v>
      </c>
    </row>
    <row r="103" customFormat="false" ht="13.5" hidden="false" customHeight="false" outlineLevel="0" collapsed="false">
      <c r="A103" s="55" t="str">
        <f aca="false">_xlfn.XLOOKUP(C103,'Annexe Etat'!$I$2:$I$164,'Annexe Etat'!$H$2:$H$164)</f>
        <v>TB</v>
      </c>
      <c r="B103" s="55" t="str">
        <f aca="false">_xlfn.XLOOKUP(A103,'Annexe Etat'!$A$2:$A$164,'Annexe Etat'!$B$2:$B$164)</f>
        <v>Travail, emploi et administration des ministères sociaux</v>
      </c>
      <c r="C103" s="56" t="n">
        <v>103</v>
      </c>
      <c r="D103" s="55" t="str">
        <f aca="false">_xlfn.XLOOKUP(C103,'Annexe Etat'!$I$2:$I$164,'Annexe Etat'!$J$2:$J$164)</f>
        <v>Accompagnement des mutations économiques et développement de l'emploi</v>
      </c>
      <c r="E103" s="57" t="s">
        <v>134</v>
      </c>
      <c r="F103" s="58" t="n">
        <v>1</v>
      </c>
      <c r="G103" s="58" t="n">
        <f aca="false">H103+I103</f>
        <v>91</v>
      </c>
      <c r="H103" s="58" t="n">
        <v>91</v>
      </c>
      <c r="I103" s="58" t="n">
        <v>0</v>
      </c>
      <c r="J103" s="59" t="n">
        <f aca="false">K103+L103</f>
        <v>96</v>
      </c>
      <c r="K103" s="59" t="n">
        <v>96</v>
      </c>
      <c r="L103" s="59" t="n">
        <v>0</v>
      </c>
      <c r="O103" s="0" t="s">
        <v>36</v>
      </c>
    </row>
    <row r="104" customFormat="false" ht="13.5" hidden="false" customHeight="false" outlineLevel="0" collapsed="false">
      <c r="A104" s="55" t="str">
        <f aca="false">_xlfn.XLOOKUP(C104,'Annexe Etat'!$I$2:$I$164,'Annexe Etat'!$H$2:$H$164)</f>
        <v>TB</v>
      </c>
      <c r="B104" s="55" t="str">
        <f aca="false">_xlfn.XLOOKUP(A104,'Annexe Etat'!$A$2:$A$164,'Annexe Etat'!$B$2:$B$164)</f>
        <v>Travail, emploi et administration des ministères sociaux</v>
      </c>
      <c r="C104" s="62" t="n">
        <v>102</v>
      </c>
      <c r="D104" s="55" t="str">
        <f aca="false">_xlfn.XLOOKUP(C104,'Annexe Etat'!$I$2:$I$164,'Annexe Etat'!$J$2:$J$164)</f>
        <v>Accès et retour à l'emploi</v>
      </c>
      <c r="E104" s="57" t="s">
        <v>135</v>
      </c>
      <c r="F104" s="58" t="n">
        <v>1</v>
      </c>
      <c r="G104" s="60" t="n">
        <f aca="false">H104+I104</f>
        <v>53052</v>
      </c>
      <c r="H104" s="60" t="n">
        <v>49147</v>
      </c>
      <c r="I104" s="60" t="n">
        <v>3905</v>
      </c>
      <c r="J104" s="61" t="n">
        <f aca="false">K104+L104</f>
        <v>48632</v>
      </c>
      <c r="K104" s="61" t="n">
        <v>48632</v>
      </c>
      <c r="L104" s="59" t="n">
        <v>0</v>
      </c>
      <c r="O104" s="0" t="s">
        <v>36</v>
      </c>
    </row>
    <row r="105" customFormat="false" ht="13.5" hidden="false" customHeight="false" outlineLevel="0" collapsed="false">
      <c r="A105" s="55" t="str">
        <f aca="false">_xlfn.XLOOKUP(C105,'Annexe Etat'!$I$2:$I$164,'Annexe Etat'!$H$2:$H$164)</f>
        <v>AC</v>
      </c>
      <c r="B105" s="55" t="str">
        <f aca="false">_xlfn.XLOOKUP(A105,'Annexe Etat'!$A$2:$A$164,'Annexe Etat'!$B$2:$B$164)</f>
        <v>Agriculture, alimentation, forêt et affaires rurales</v>
      </c>
      <c r="C105" s="56" t="n">
        <v>149</v>
      </c>
      <c r="D105" s="55" t="str">
        <f aca="false">_xlfn.XLOOKUP(C105,'Annexe Etat'!$I$2:$I$164,'Annexe Etat'!$J$2:$J$164)</f>
        <v>Compétitivité et durabilité de l'agriculture, de l'agroalimentaire et de la forêt</v>
      </c>
      <c r="E105" s="57" t="s">
        <v>136</v>
      </c>
      <c r="F105" s="58" t="n">
        <v>1</v>
      </c>
      <c r="G105" s="58" t="n">
        <f aca="false">H105+I105</f>
        <v>992</v>
      </c>
      <c r="H105" s="58" t="n">
        <v>968</v>
      </c>
      <c r="I105" s="58" t="n">
        <v>24</v>
      </c>
      <c r="J105" s="59" t="n">
        <f aca="false">K105+L105</f>
        <v>979</v>
      </c>
      <c r="K105" s="59" t="n">
        <v>959</v>
      </c>
      <c r="L105" s="59" t="n">
        <v>20</v>
      </c>
      <c r="O105" s="0" t="s">
        <v>36</v>
      </c>
    </row>
    <row r="106" customFormat="false" ht="13.5" hidden="false" customHeight="false" outlineLevel="0" collapsed="false">
      <c r="A106" s="55" t="str">
        <f aca="false">_xlfn.XLOOKUP(C106,'Annexe Etat'!$I$2:$I$164,'Annexe Etat'!$H$2:$H$164)</f>
        <v>RA</v>
      </c>
      <c r="B106" s="55" t="str">
        <f aca="false">_xlfn.XLOOKUP(A106,'Annexe Etat'!$A$2:$A$164,'Annexe Etat'!$B$2:$B$164)</f>
        <v>Recherche et enseignement supérieur</v>
      </c>
      <c r="C106" s="56" t="n">
        <v>192</v>
      </c>
      <c r="D106" s="55" t="str">
        <f aca="false">_xlfn.XLOOKUP(C106,'Annexe Etat'!$I$2:$I$164,'Annexe Etat'!$J$2:$J$164)</f>
        <v>Recherche et enseignement supérieur en matière économique et industrielle</v>
      </c>
      <c r="E106" s="57" t="s">
        <v>137</v>
      </c>
      <c r="F106" s="58" t="n">
        <v>1</v>
      </c>
      <c r="G106" s="58" t="n">
        <f aca="false">H106+I106</f>
        <v>256</v>
      </c>
      <c r="H106" s="58" t="n">
        <v>197</v>
      </c>
      <c r="I106" s="58" t="n">
        <v>59</v>
      </c>
      <c r="J106" s="59" t="n">
        <f aca="false">K106+L106</f>
        <v>257</v>
      </c>
      <c r="K106" s="59" t="n">
        <v>195</v>
      </c>
      <c r="L106" s="59" t="n">
        <v>62</v>
      </c>
      <c r="Q106" s="0" t="s">
        <v>36</v>
      </c>
    </row>
    <row r="107" customFormat="false" ht="13.5" hidden="false" customHeight="false" outlineLevel="0" collapsed="false">
      <c r="A107" s="55" t="str">
        <f aca="false">_xlfn.XLOOKUP(C107,'Annexe Etat'!$I$2:$I$164,'Annexe Etat'!$H$2:$H$164)</f>
        <v>RA</v>
      </c>
      <c r="B107" s="55" t="str">
        <f aca="false">_xlfn.XLOOKUP(A107,'Annexe Etat'!$A$2:$A$164,'Annexe Etat'!$B$2:$B$164)</f>
        <v>Recherche et enseignement supérieur</v>
      </c>
      <c r="C107" s="56" t="n">
        <v>172</v>
      </c>
      <c r="D107" s="55" t="str">
        <f aca="false">_xlfn.XLOOKUP(C107,'Annexe Etat'!$I$2:$I$164,'Annexe Etat'!$J$2:$J$164)</f>
        <v>Recherches scientifiques et technologiques pluridisciplinaires</v>
      </c>
      <c r="E107" s="57" t="s">
        <v>138</v>
      </c>
      <c r="F107" s="58" t="n">
        <v>1</v>
      </c>
      <c r="G107" s="58" t="n">
        <f aca="false">H107+I107</f>
        <v>58</v>
      </c>
      <c r="H107" s="58" t="n">
        <v>50</v>
      </c>
      <c r="I107" s="58" t="n">
        <v>8</v>
      </c>
      <c r="J107" s="59" t="n">
        <f aca="false">K107+L107</f>
        <v>56</v>
      </c>
      <c r="K107" s="59" t="n">
        <v>50</v>
      </c>
      <c r="L107" s="59" t="n">
        <v>6</v>
      </c>
      <c r="O107" s="0" t="s">
        <v>36</v>
      </c>
    </row>
    <row r="108" customFormat="false" ht="13.5" hidden="false" customHeight="false" outlineLevel="0" collapsed="false">
      <c r="A108" s="55" t="str">
        <f aca="false">_xlfn.XLOOKUP(C108,'Annexe Etat'!$I$2:$I$164,'Annexe Etat'!$H$2:$H$164)</f>
        <v>TA</v>
      </c>
      <c r="B108" s="55" t="str">
        <f aca="false">_xlfn.XLOOKUP(A108,'Annexe Etat'!$A$2:$A$164,'Annexe Etat'!$B$2:$B$164)</f>
        <v>Écologie, développement et mobilité durables</v>
      </c>
      <c r="C108" s="56" t="n">
        <v>181</v>
      </c>
      <c r="D108" s="55" t="str">
        <f aca="false">_xlfn.XLOOKUP(C108,'Annexe Etat'!$I$2:$I$164,'Annexe Etat'!$J$2:$J$164)</f>
        <v>Prévention des risques</v>
      </c>
      <c r="E108" s="57" t="s">
        <v>139</v>
      </c>
      <c r="F108" s="58" t="n">
        <v>1</v>
      </c>
      <c r="G108" s="58" t="n">
        <f aca="false">H108+I108</f>
        <v>0</v>
      </c>
      <c r="H108" s="58" t="n">
        <v>0</v>
      </c>
      <c r="I108" s="58" t="n">
        <v>0</v>
      </c>
      <c r="J108" s="59" t="n">
        <f aca="false">K108+L108</f>
        <v>0</v>
      </c>
      <c r="K108" s="59" t="n">
        <v>0</v>
      </c>
      <c r="L108" s="59" t="n">
        <v>0</v>
      </c>
      <c r="R108" s="0" t="s">
        <v>36</v>
      </c>
    </row>
    <row r="109" customFormat="false" ht="25.5" hidden="false" customHeight="false" outlineLevel="0" collapsed="false">
      <c r="A109" s="55" t="str">
        <f aca="false">_xlfn.XLOOKUP(C109,'Annexe Etat'!$I$2:$I$164,'Annexe Etat'!$H$2:$H$164)</f>
        <v>AC</v>
      </c>
      <c r="B109" s="55" t="str">
        <f aca="false">_xlfn.XLOOKUP(A109,'Annexe Etat'!$A$2:$A$164,'Annexe Etat'!$B$2:$B$164)</f>
        <v>Agriculture, alimentation, forêt et affaires rurales</v>
      </c>
      <c r="C109" s="56" t="n">
        <v>149</v>
      </c>
      <c r="D109" s="55" t="str">
        <f aca="false">_xlfn.XLOOKUP(C109,'Annexe Etat'!$I$2:$I$164,'Annexe Etat'!$J$2:$J$164)</f>
        <v>Compétitivité et durabilité de l'agriculture, de l'agroalimentaire et de la forêt</v>
      </c>
      <c r="E109" s="57" t="s">
        <v>140</v>
      </c>
      <c r="F109" s="58" t="n">
        <v>1</v>
      </c>
      <c r="G109" s="58" t="n">
        <f aca="false">H109+I109</f>
        <v>24</v>
      </c>
      <c r="H109" s="58" t="n">
        <v>20</v>
      </c>
      <c r="I109" s="58" t="n">
        <v>4</v>
      </c>
      <c r="J109" s="59" t="n">
        <f aca="false">K109+L109</f>
        <v>23</v>
      </c>
      <c r="K109" s="59" t="n">
        <v>19</v>
      </c>
      <c r="L109" s="59" t="n">
        <v>4</v>
      </c>
      <c r="O109" s="0" t="s">
        <v>36</v>
      </c>
    </row>
    <row r="110" customFormat="false" ht="13.5" hidden="false" customHeight="false" outlineLevel="0" collapsed="false">
      <c r="A110" s="55" t="str">
        <f aca="false">_xlfn.XLOOKUP(C110,'Annexe Etat'!$I$2:$I$164,'Annexe Etat'!$H$2:$H$164)</f>
        <v>TB</v>
      </c>
      <c r="B110" s="55" t="str">
        <f aca="false">_xlfn.XLOOKUP(A110,'Annexe Etat'!$A$2:$A$164,'Annexe Etat'!$B$2:$B$164)</f>
        <v>Travail, emploi et administration des ministères sociaux</v>
      </c>
      <c r="C110" s="56" t="n">
        <v>103</v>
      </c>
      <c r="D110" s="55" t="str">
        <f aca="false">_xlfn.XLOOKUP(C110,'Annexe Etat'!$I$2:$I$164,'Annexe Etat'!$J$2:$J$164)</f>
        <v>Accompagnement des mutations économiques et développement de l'emploi</v>
      </c>
      <c r="E110" s="57" t="s">
        <v>141</v>
      </c>
      <c r="F110" s="58" t="n">
        <v>1</v>
      </c>
      <c r="G110" s="58" t="n">
        <f aca="false">H110+I110</f>
        <v>11</v>
      </c>
      <c r="H110" s="58" t="n">
        <v>11</v>
      </c>
      <c r="I110" s="58" t="n">
        <v>0</v>
      </c>
      <c r="J110" s="59" t="n">
        <f aca="false">K110+L110</f>
        <v>11</v>
      </c>
      <c r="K110" s="59" t="n">
        <v>11</v>
      </c>
      <c r="L110" s="59" t="n">
        <v>0</v>
      </c>
      <c r="O110" s="0" t="s">
        <v>36</v>
      </c>
    </row>
    <row r="111" customFormat="false" ht="13.5" hidden="false" customHeight="false" outlineLevel="0" collapsed="false">
      <c r="A111" s="55" t="str">
        <f aca="false">_xlfn.XLOOKUP(C111,'Annexe Etat'!$I$2:$I$164,'Annexe Etat'!$H$2:$H$164)</f>
        <v>TB</v>
      </c>
      <c r="B111" s="55" t="str">
        <f aca="false">_xlfn.XLOOKUP(A111,'Annexe Etat'!$A$2:$A$164,'Annexe Etat'!$B$2:$B$164)</f>
        <v>Travail, emploi et administration des ministères sociaux</v>
      </c>
      <c r="C111" s="56" t="n">
        <v>102</v>
      </c>
      <c r="D111" s="55" t="str">
        <f aca="false">_xlfn.XLOOKUP(C111,'Annexe Etat'!$I$2:$I$164,'Annexe Etat'!$J$2:$J$164)</f>
        <v>Accès et retour à l'emploi</v>
      </c>
      <c r="E111" s="57" t="s">
        <v>142</v>
      </c>
      <c r="F111" s="58" t="n">
        <v>1</v>
      </c>
      <c r="G111" s="58" t="n">
        <f aca="false">H111+I111</f>
        <v>35</v>
      </c>
      <c r="H111" s="58" t="n">
        <v>35</v>
      </c>
      <c r="I111" s="58" t="n">
        <v>0</v>
      </c>
      <c r="J111" s="59" t="n">
        <f aca="false">K111+L111</f>
        <v>35</v>
      </c>
      <c r="K111" s="59" t="n">
        <v>35</v>
      </c>
      <c r="L111" s="59" t="n">
        <v>0</v>
      </c>
      <c r="O111" s="0" t="s">
        <v>36</v>
      </c>
    </row>
    <row r="112" customFormat="false" ht="13.5" hidden="false" customHeight="false" outlineLevel="0" collapsed="false">
      <c r="A112" s="55" t="str">
        <f aca="false">_xlfn.XLOOKUP(C112,'Annexe Etat'!$I$2:$I$164,'Annexe Etat'!$H$2:$H$164)</f>
        <v>DC</v>
      </c>
      <c r="B112" s="55" t="str">
        <f aca="false">_xlfn.XLOOKUP(A112,'Annexe Etat'!$A$2:$A$164,'Annexe Etat'!$B$2:$B$164)</f>
        <v>Direction de l'action du Gouvernement</v>
      </c>
      <c r="C112" s="56" t="n">
        <v>129</v>
      </c>
      <c r="D112" s="55" t="str">
        <f aca="false">_xlfn.XLOOKUP(C112,'Annexe Etat'!$I$2:$I$164,'Annexe Etat'!$J$2:$J$164)</f>
        <v>Coordination du travail gouvernemental</v>
      </c>
      <c r="E112" s="57" t="s">
        <v>143</v>
      </c>
      <c r="F112" s="58" t="n">
        <v>1</v>
      </c>
      <c r="G112" s="58" t="n">
        <f aca="false">H112+I112</f>
        <v>361</v>
      </c>
      <c r="H112" s="58" t="n">
        <v>361</v>
      </c>
      <c r="I112" s="58" t="n">
        <v>0</v>
      </c>
      <c r="J112" s="59" t="n">
        <f aca="false">K112+L112</f>
        <v>360</v>
      </c>
      <c r="K112" s="59" t="n">
        <v>360</v>
      </c>
      <c r="L112" s="59" t="n">
        <v>0</v>
      </c>
      <c r="P112" s="0" t="s">
        <v>36</v>
      </c>
    </row>
    <row r="113" customFormat="false" ht="13.5" hidden="false" customHeight="false" outlineLevel="0" collapsed="false">
      <c r="A113" s="55" t="str">
        <f aca="false">_xlfn.XLOOKUP(C113,'Annexe Etat'!$I$2:$I$164,'Annexe Etat'!$H$2:$H$164)</f>
        <v>RA</v>
      </c>
      <c r="B113" s="55" t="str">
        <f aca="false">_xlfn.XLOOKUP(A113,'Annexe Etat'!$A$2:$A$164,'Annexe Etat'!$B$2:$B$164)</f>
        <v>Recherche et enseignement supérieur</v>
      </c>
      <c r="C113" s="62" t="n">
        <v>192</v>
      </c>
      <c r="D113" s="55" t="str">
        <f aca="false">_xlfn.XLOOKUP(C113,'Annexe Etat'!$I$2:$I$164,'Annexe Etat'!$J$2:$J$164)</f>
        <v>Recherche et enseignement supérieur en matière économique et industrielle</v>
      </c>
      <c r="E113" s="57" t="s">
        <v>144</v>
      </c>
      <c r="F113" s="58" t="n">
        <v>2</v>
      </c>
      <c r="G113" s="60" t="n">
        <f aca="false">H113+I113</f>
        <v>4275</v>
      </c>
      <c r="H113" s="60" t="n">
        <v>2886</v>
      </c>
      <c r="I113" s="60" t="n">
        <v>1389</v>
      </c>
      <c r="J113" s="61" t="n">
        <f aca="false">K113+L113</f>
        <v>4433</v>
      </c>
      <c r="K113" s="61" t="n">
        <v>2877</v>
      </c>
      <c r="L113" s="61" t="n">
        <v>1556</v>
      </c>
      <c r="Q113" s="0" t="s">
        <v>36</v>
      </c>
    </row>
    <row r="114" customFormat="false" ht="25.5" hidden="false" customHeight="false" outlineLevel="0" collapsed="false">
      <c r="A114" s="55" t="str">
        <f aca="false">_xlfn.XLOOKUP(C114,'Annexe Etat'!$I$2:$I$164,'Annexe Etat'!$H$2:$H$164)</f>
        <v>JA</v>
      </c>
      <c r="B114" s="55" t="str">
        <f aca="false">_xlfn.XLOOKUP(A114,'Annexe Etat'!$A$2:$A$164,'Annexe Etat'!$B$2:$B$164)</f>
        <v>Justice</v>
      </c>
      <c r="C114" s="56" t="n">
        <v>310</v>
      </c>
      <c r="D114" s="55" t="str">
        <f aca="false">_xlfn.XLOOKUP(C114,'Annexe Etat'!$I$2:$I$164,'Annexe Etat'!$J$2:$J$164)</f>
        <v>Conduite et pilotage de la politique de la justice</v>
      </c>
      <c r="E114" s="57" t="s">
        <v>145</v>
      </c>
      <c r="F114" s="58" t="n">
        <v>1</v>
      </c>
      <c r="G114" s="58" t="n">
        <f aca="false">H114+I114</f>
        <v>8</v>
      </c>
      <c r="H114" s="58" t="n">
        <v>5</v>
      </c>
      <c r="I114" s="58" t="n">
        <v>3</v>
      </c>
      <c r="J114" s="59" t="n">
        <f aca="false">K114+L114</f>
        <v>10</v>
      </c>
      <c r="K114" s="59" t="n">
        <v>5</v>
      </c>
      <c r="L114" s="59" t="n">
        <v>5</v>
      </c>
      <c r="Q114" s="0" t="s">
        <v>36</v>
      </c>
    </row>
    <row r="115" customFormat="false" ht="13.5" hidden="false" customHeight="false" outlineLevel="0" collapsed="false">
      <c r="A115" s="55" t="str">
        <f aca="false">_xlfn.XLOOKUP(C115,'Annexe Etat'!$I$2:$I$164,'Annexe Etat'!$H$2:$H$164)</f>
        <v>AC</v>
      </c>
      <c r="B115" s="55" t="str">
        <f aca="false">_xlfn.XLOOKUP(A115,'Annexe Etat'!$A$2:$A$164,'Annexe Etat'!$B$2:$B$164)</f>
        <v>Agriculture, alimentation, forêt et affaires rurales</v>
      </c>
      <c r="C115" s="56" t="n">
        <v>149</v>
      </c>
      <c r="D115" s="55" t="str">
        <f aca="false">_xlfn.XLOOKUP(C115,'Annexe Etat'!$I$2:$I$164,'Annexe Etat'!$J$2:$J$164)</f>
        <v>Compétitivité et durabilité de l'agriculture, de l'agroalimentaire et de la forêt</v>
      </c>
      <c r="E115" s="57" t="s">
        <v>146</v>
      </c>
      <c r="F115" s="58" t="n">
        <v>1</v>
      </c>
      <c r="G115" s="58" t="n">
        <f aca="false">H115+I115</f>
        <v>621</v>
      </c>
      <c r="H115" s="58" t="n">
        <v>598</v>
      </c>
      <c r="I115" s="58" t="n">
        <v>23</v>
      </c>
      <c r="J115" s="59" t="n">
        <f aca="false">K115+L115</f>
        <v>601</v>
      </c>
      <c r="K115" s="59" t="n">
        <v>590</v>
      </c>
      <c r="L115" s="59" t="n">
        <v>11</v>
      </c>
      <c r="N115" s="0" t="s">
        <v>36</v>
      </c>
    </row>
    <row r="116" customFormat="false" ht="13.5" hidden="false" customHeight="false" outlineLevel="0" collapsed="false">
      <c r="A116" s="55" t="str">
        <f aca="false">_xlfn.XLOOKUP(C116,'Annexe Etat'!$I$2:$I$164,'Annexe Etat'!$H$2:$H$164)</f>
        <v>RA</v>
      </c>
      <c r="B116" s="55" t="str">
        <f aca="false">_xlfn.XLOOKUP(A116,'Annexe Etat'!$A$2:$A$164,'Annexe Etat'!$B$2:$B$164)</f>
        <v>Recherche et enseignement supérieur</v>
      </c>
      <c r="C116" s="62" t="n">
        <v>190</v>
      </c>
      <c r="D116" s="55" t="str">
        <f aca="false">_xlfn.XLOOKUP(C116,'Annexe Etat'!$I$2:$I$164,'Annexe Etat'!$J$2:$J$164)</f>
        <v>Recherche dans les domaines de l'énergie, du développement et de la mobilité durables</v>
      </c>
      <c r="E116" s="57" t="s">
        <v>147</v>
      </c>
      <c r="F116" s="58" t="n">
        <v>1</v>
      </c>
      <c r="G116" s="60" t="n">
        <f aca="false">H116+I116</f>
        <v>1786</v>
      </c>
      <c r="H116" s="60" t="n">
        <v>1686</v>
      </c>
      <c r="I116" s="58" t="n">
        <v>100</v>
      </c>
      <c r="J116" s="61" t="n">
        <f aca="false">K116+L116</f>
        <v>1766</v>
      </c>
      <c r="K116" s="61" t="n">
        <v>1666</v>
      </c>
      <c r="L116" s="59" t="n">
        <v>100</v>
      </c>
      <c r="N116" s="0" t="s">
        <v>36</v>
      </c>
    </row>
    <row r="117" customFormat="false" ht="25.5" hidden="false" customHeight="false" outlineLevel="0" collapsed="false">
      <c r="A117" s="55" t="str">
        <f aca="false">_xlfn.XLOOKUP(C117,'Annexe Etat'!$I$2:$I$164,'Annexe Etat'!$H$2:$H$164)</f>
        <v>RA</v>
      </c>
      <c r="B117" s="55" t="str">
        <f aca="false">_xlfn.XLOOKUP(A117,'Annexe Etat'!$A$2:$A$164,'Annexe Etat'!$B$2:$B$164)</f>
        <v>Recherche et enseignement supérieur</v>
      </c>
      <c r="C117" s="62" t="n">
        <v>172</v>
      </c>
      <c r="D117" s="55" t="str">
        <f aca="false">_xlfn.XLOOKUP(C117,'Annexe Etat'!$I$2:$I$164,'Annexe Etat'!$J$2:$J$164)</f>
        <v>Recherches scientifiques et technologiques pluridisciplinaires</v>
      </c>
      <c r="E117" s="57" t="s">
        <v>148</v>
      </c>
      <c r="F117" s="58" t="n">
        <v>1</v>
      </c>
      <c r="G117" s="60" t="n">
        <f aca="false">H117+I117</f>
        <v>1637</v>
      </c>
      <c r="H117" s="60" t="n">
        <v>1363</v>
      </c>
      <c r="I117" s="58" t="n">
        <v>274</v>
      </c>
      <c r="J117" s="61" t="n">
        <f aca="false">K117+L117</f>
        <v>1641</v>
      </c>
      <c r="K117" s="61" t="n">
        <v>1363</v>
      </c>
      <c r="L117" s="59" t="n">
        <v>278</v>
      </c>
      <c r="Q117" s="0" t="s">
        <v>36</v>
      </c>
    </row>
    <row r="118" customFormat="false" ht="13.5" hidden="false" customHeight="false" outlineLevel="0" collapsed="false">
      <c r="A118" s="55" t="str">
        <f aca="false">_xlfn.XLOOKUP(C118,'Annexe Etat'!$I$2:$I$164,'Annexe Etat'!$H$2:$H$164)</f>
        <v>TA</v>
      </c>
      <c r="B118" s="55" t="str">
        <f aca="false">_xlfn.XLOOKUP(A118,'Annexe Etat'!$A$2:$A$164,'Annexe Etat'!$B$2:$B$164)</f>
        <v>Écologie, développement et mobilité durables</v>
      </c>
      <c r="C118" s="62" t="n">
        <v>159</v>
      </c>
      <c r="D118" s="55" t="str">
        <f aca="false">_xlfn.XLOOKUP(C118,'Annexe Etat'!$I$2:$I$164,'Annexe Etat'!$J$2:$J$164)</f>
        <v>Expertise, information géographique et météorologie</v>
      </c>
      <c r="E118" s="57" t="s">
        <v>149</v>
      </c>
      <c r="F118" s="58" t="n">
        <v>1</v>
      </c>
      <c r="G118" s="60" t="n">
        <f aca="false">H118+I118</f>
        <v>1468</v>
      </c>
      <c r="H118" s="60" t="n">
        <v>1405</v>
      </c>
      <c r="I118" s="58" t="n">
        <v>63</v>
      </c>
      <c r="J118" s="61" t="n">
        <f aca="false">K118+L118</f>
        <v>1451</v>
      </c>
      <c r="K118" s="61" t="n">
        <v>1388</v>
      </c>
      <c r="L118" s="59" t="n">
        <v>63</v>
      </c>
      <c r="R118" s="0" t="s">
        <v>36</v>
      </c>
    </row>
    <row r="119" customFormat="false" ht="13.5" hidden="false" customHeight="false" outlineLevel="0" collapsed="false">
      <c r="A119" s="55" t="str">
        <f aca="false">_xlfn.XLOOKUP(C119,'Annexe Etat'!$I$2:$I$164,'Annexe Etat'!$H$2:$H$164)</f>
        <v>DC</v>
      </c>
      <c r="B119" s="55" t="str">
        <f aca="false">_xlfn.XLOOKUP(A119,'Annexe Etat'!$A$2:$A$164,'Annexe Etat'!$B$2:$B$164)</f>
        <v>Direction de l'action du Gouvernement</v>
      </c>
      <c r="C119" s="56" t="n">
        <v>129</v>
      </c>
      <c r="D119" s="55" t="str">
        <f aca="false">_xlfn.XLOOKUP(C119,'Annexe Etat'!$I$2:$I$164,'Annexe Etat'!$J$2:$J$164)</f>
        <v>Coordination du travail gouvernemental</v>
      </c>
      <c r="E119" s="57" t="s">
        <v>150</v>
      </c>
      <c r="F119" s="58" t="n">
        <v>1</v>
      </c>
      <c r="G119" s="58" t="n">
        <f aca="false">H119+I119</f>
        <v>68</v>
      </c>
      <c r="H119" s="58" t="n">
        <v>66</v>
      </c>
      <c r="I119" s="58" t="n">
        <v>2</v>
      </c>
      <c r="J119" s="59" t="n">
        <f aca="false">K119+L119</f>
        <v>74</v>
      </c>
      <c r="K119" s="59" t="n">
        <v>66</v>
      </c>
      <c r="L119" s="59" t="n">
        <v>8</v>
      </c>
      <c r="Q119" s="0" t="s">
        <v>36</v>
      </c>
    </row>
    <row r="120" customFormat="false" ht="13.5" hidden="false" customHeight="false" outlineLevel="0" collapsed="false">
      <c r="A120" s="55" t="str">
        <f aca="false">_xlfn.XLOOKUP(C120,'Annexe Etat'!$I$2:$I$164,'Annexe Etat'!$H$2:$H$164)</f>
        <v>AC</v>
      </c>
      <c r="B120" s="55" t="str">
        <f aca="false">_xlfn.XLOOKUP(A120,'Annexe Etat'!$A$2:$A$164,'Annexe Etat'!$B$2:$B$164)</f>
        <v>Agriculture, alimentation, forêt et affaires rurales</v>
      </c>
      <c r="C120" s="56" t="n">
        <v>149</v>
      </c>
      <c r="D120" s="55" t="str">
        <f aca="false">_xlfn.XLOOKUP(C120,'Annexe Etat'!$I$2:$I$164,'Annexe Etat'!$J$2:$J$164)</f>
        <v>Compétitivité et durabilité de l'agriculture, de l'agroalimentaire et de la forêt</v>
      </c>
      <c r="E120" s="57" t="s">
        <v>151</v>
      </c>
      <c r="F120" s="58" t="n">
        <v>1</v>
      </c>
      <c r="G120" s="58" t="n">
        <f aca="false">H120+I120</f>
        <v>235</v>
      </c>
      <c r="H120" s="58" t="n">
        <v>232</v>
      </c>
      <c r="I120" s="58" t="n">
        <v>3</v>
      </c>
      <c r="J120" s="59" t="n">
        <f aca="false">K120+L120</f>
        <v>235</v>
      </c>
      <c r="K120" s="59" t="n">
        <v>228</v>
      </c>
      <c r="L120" s="59" t="n">
        <v>7</v>
      </c>
      <c r="O120" s="0" t="s">
        <v>36</v>
      </c>
    </row>
    <row r="121" customFormat="false" ht="13.5" hidden="false" customHeight="false" outlineLevel="0" collapsed="false">
      <c r="A121" s="55" t="str">
        <f aca="false">_xlfn.XLOOKUP(C121,'Annexe Etat'!$I$2:$I$164,'Annexe Etat'!$H$2:$H$164)</f>
        <v>SA</v>
      </c>
      <c r="B121" s="55" t="str">
        <f aca="false">_xlfn.XLOOKUP(A121,'Annexe Etat'!$A$2:$A$164,'Annexe Etat'!$B$2:$B$164)</f>
        <v>Santé</v>
      </c>
      <c r="C121" s="56" t="n">
        <v>204</v>
      </c>
      <c r="D121" s="55" t="str">
        <f aca="false">_xlfn.XLOOKUP(C121,'Annexe Etat'!$I$2:$I$164,'Annexe Etat'!$J$2:$J$164)</f>
        <v>Prévention, sécurité sanitaire et offre de soins</v>
      </c>
      <c r="E121" s="57" t="s">
        <v>152</v>
      </c>
      <c r="F121" s="58" t="n">
        <v>1</v>
      </c>
      <c r="G121" s="58" t="n">
        <f aca="false">H121+I121</f>
        <v>161</v>
      </c>
      <c r="H121" s="58" t="n">
        <v>131</v>
      </c>
      <c r="I121" s="58" t="n">
        <v>30</v>
      </c>
      <c r="J121" s="59" t="n">
        <f aca="false">K121+L121</f>
        <v>162</v>
      </c>
      <c r="K121" s="59" t="n">
        <v>132</v>
      </c>
      <c r="L121" s="59" t="n">
        <v>30</v>
      </c>
      <c r="Q121" s="0" t="s">
        <v>36</v>
      </c>
    </row>
    <row r="122" customFormat="false" ht="13.5" hidden="false" customHeight="false" outlineLevel="0" collapsed="false">
      <c r="A122" s="55" t="str">
        <f aca="false">_xlfn.XLOOKUP(C122,'Annexe Etat'!$I$2:$I$164,'Annexe Etat'!$H$2:$H$164)</f>
        <v>RA</v>
      </c>
      <c r="B122" s="55" t="str">
        <f aca="false">_xlfn.XLOOKUP(A122,'Annexe Etat'!$A$2:$A$164,'Annexe Etat'!$B$2:$B$164)</f>
        <v>Recherche et enseignement supérieur</v>
      </c>
      <c r="C122" s="56" t="n">
        <v>172</v>
      </c>
      <c r="D122" s="55" t="str">
        <f aca="false">_xlfn.XLOOKUP(C122,'Annexe Etat'!$I$2:$I$164,'Annexe Etat'!$J$2:$J$164)</f>
        <v>Recherches scientifiques et technologiques pluridisciplinaires</v>
      </c>
      <c r="E122" s="57" t="s">
        <v>153</v>
      </c>
      <c r="F122" s="58" t="n">
        <v>1</v>
      </c>
      <c r="G122" s="58" t="n">
        <f aca="false">H122+I122</f>
        <v>264</v>
      </c>
      <c r="H122" s="58" t="n">
        <v>201</v>
      </c>
      <c r="I122" s="58" t="n">
        <v>63</v>
      </c>
      <c r="J122" s="59" t="n">
        <f aca="false">K122+L122</f>
        <v>267</v>
      </c>
      <c r="K122" s="59" t="n">
        <v>201</v>
      </c>
      <c r="L122" s="59" t="n">
        <v>66</v>
      </c>
      <c r="Q122" s="0" t="s">
        <v>36</v>
      </c>
    </row>
    <row r="123" customFormat="false" ht="25.5" hidden="false" customHeight="false" outlineLevel="0" collapsed="false">
      <c r="A123" s="55" t="str">
        <f aca="false">_xlfn.XLOOKUP(C123,'Annexe Etat'!$I$2:$I$164,'Annexe Etat'!$H$2:$H$164)</f>
        <v>TA</v>
      </c>
      <c r="B123" s="55" t="str">
        <f aca="false">_xlfn.XLOOKUP(A123,'Annexe Etat'!$A$2:$A$164,'Annexe Etat'!$B$2:$B$164)</f>
        <v>Écologie, développement et mobilité durables</v>
      </c>
      <c r="C123" s="56" t="n">
        <v>181</v>
      </c>
      <c r="D123" s="55" t="str">
        <f aca="false">_xlfn.XLOOKUP(C123,'Annexe Etat'!$I$2:$I$164,'Annexe Etat'!$J$2:$J$164)</f>
        <v>Prévention des risques</v>
      </c>
      <c r="E123" s="57" t="s">
        <v>154</v>
      </c>
      <c r="F123" s="58" t="n">
        <v>1</v>
      </c>
      <c r="G123" s="58" t="n">
        <f aca="false">H123+I123</f>
        <v>539</v>
      </c>
      <c r="H123" s="58" t="n">
        <v>489</v>
      </c>
      <c r="I123" s="58" t="n">
        <v>50</v>
      </c>
      <c r="J123" s="59" t="n">
        <f aca="false">K123+L123</f>
        <v>544</v>
      </c>
      <c r="K123" s="59" t="n">
        <v>489</v>
      </c>
      <c r="L123" s="59" t="n">
        <v>55</v>
      </c>
      <c r="Q123" s="0" t="s">
        <v>36</v>
      </c>
    </row>
    <row r="124" customFormat="false" ht="25.5" hidden="false" customHeight="false" outlineLevel="0" collapsed="false">
      <c r="A124" s="55" t="str">
        <f aca="false">_xlfn.XLOOKUP(C124,'Annexe Etat'!$I$2:$I$164,'Annexe Etat'!$H$2:$H$164)</f>
        <v>AC</v>
      </c>
      <c r="B124" s="55" t="str">
        <f aca="false">_xlfn.XLOOKUP(A124,'Annexe Etat'!$A$2:$A$164,'Annexe Etat'!$B$2:$B$164)</f>
        <v>Agriculture, alimentation, forêt et affaires rurales</v>
      </c>
      <c r="C124" s="56" t="n">
        <v>215</v>
      </c>
      <c r="D124" s="55" t="str">
        <f aca="false">_xlfn.XLOOKUP(C124,'Annexe Etat'!$I$2:$I$164,'Annexe Etat'!$J$2:$J$164)</f>
        <v>Conduite et pilotage des politiques de l'agriculture</v>
      </c>
      <c r="E124" s="57" t="s">
        <v>155</v>
      </c>
      <c r="F124" s="58" t="n">
        <v>1</v>
      </c>
      <c r="G124" s="58" t="n">
        <f aca="false">H124+I124</f>
        <v>6</v>
      </c>
      <c r="H124" s="58" t="n">
        <v>6</v>
      </c>
      <c r="I124" s="58" t="n">
        <v>0</v>
      </c>
      <c r="J124" s="59" t="n">
        <f aca="false">K124+L124</f>
        <v>5</v>
      </c>
      <c r="K124" s="59" t="n">
        <v>5</v>
      </c>
      <c r="L124" s="59" t="n">
        <v>0</v>
      </c>
      <c r="O124" s="0" t="s">
        <v>36</v>
      </c>
    </row>
    <row r="125" customFormat="false" ht="13.5" hidden="false" customHeight="false" outlineLevel="0" collapsed="false">
      <c r="A125" s="55" t="str">
        <f aca="false">_xlfn.XLOOKUP(C125,'Annexe Etat'!$I$2:$I$164,'Annexe Etat'!$H$2:$H$164)</f>
        <v>MB</v>
      </c>
      <c r="B125" s="55" t="str">
        <f aca="false">_xlfn.XLOOKUP(A125,'Annexe Etat'!$A$2:$A$164,'Annexe Etat'!$B$2:$B$164)</f>
        <v>Monde combattant, mémoire et liens avec la Nation</v>
      </c>
      <c r="C125" s="56" t="n">
        <v>169</v>
      </c>
      <c r="D125" s="55" t="str">
        <f aca="false">_xlfn.XLOOKUP(C125,'Annexe Etat'!$I$2:$I$164,'Annexe Etat'!$J$2:$J$164)</f>
        <v>Reconnaissance et réparation en faveur du monde combattant, mémoire et liens avec la Nation</v>
      </c>
      <c r="E125" s="57" t="s">
        <v>156</v>
      </c>
      <c r="F125" s="58" t="n">
        <v>1</v>
      </c>
      <c r="G125" s="58" t="n">
        <f aca="false">H125+I125</f>
        <v>419</v>
      </c>
      <c r="H125" s="58" t="n">
        <v>410</v>
      </c>
      <c r="I125" s="58" t="n">
        <v>9</v>
      </c>
      <c r="J125" s="59" t="n">
        <f aca="false">K125+L125</f>
        <v>419</v>
      </c>
      <c r="K125" s="59" t="n">
        <v>410</v>
      </c>
      <c r="L125" s="59" t="n">
        <v>9</v>
      </c>
      <c r="P125" s="0" t="s">
        <v>36</v>
      </c>
    </row>
    <row r="126" customFormat="false" ht="13.5" hidden="false" customHeight="false" outlineLevel="0" collapsed="false">
      <c r="A126" s="55" t="str">
        <f aca="false">_xlfn.XLOOKUP(C126,'Annexe Etat'!$I$2:$I$164,'Annexe Etat'!$H$2:$H$164)</f>
        <v>CB</v>
      </c>
      <c r="B126" s="55" t="str">
        <f aca="false">_xlfn.XLOOKUP(A126,'Annexe Etat'!$A$2:$A$164,'Annexe Etat'!$B$2:$B$164)</f>
        <v>Culture</v>
      </c>
      <c r="C126" s="56" t="n">
        <v>361</v>
      </c>
      <c r="D126" s="55" t="str">
        <f aca="false">_xlfn.XLOOKUP(C126,'Annexe Etat'!$I$2:$I$164,'Annexe Etat'!$J$2:$J$164)</f>
        <v>Transmission des savoirs et démocratisation de la culture</v>
      </c>
      <c r="E126" s="57" t="s">
        <v>157</v>
      </c>
      <c r="F126" s="58" t="n">
        <v>1</v>
      </c>
      <c r="G126" s="58" t="n">
        <f aca="false">H126+I126</f>
        <v>77</v>
      </c>
      <c r="H126" s="58" t="n">
        <v>76</v>
      </c>
      <c r="I126" s="58" t="n">
        <v>1</v>
      </c>
      <c r="J126" s="59" t="n">
        <f aca="false">K126+L126</f>
        <v>77</v>
      </c>
      <c r="K126" s="59" t="n">
        <v>76</v>
      </c>
      <c r="L126" s="59" t="n">
        <v>1</v>
      </c>
      <c r="P126" s="0" t="s">
        <v>36</v>
      </c>
    </row>
    <row r="127" customFormat="false" ht="13.5" hidden="false" customHeight="false" outlineLevel="0" collapsed="false">
      <c r="A127" s="55" t="str">
        <f aca="false">_xlfn.XLOOKUP(C127,'Annexe Etat'!$I$2:$I$164,'Annexe Etat'!$H$2:$H$164)</f>
        <v>DB</v>
      </c>
      <c r="B127" s="55" t="str">
        <f aca="false">_xlfn.XLOOKUP(A127,'Annexe Etat'!$A$2:$A$164,'Annexe Etat'!$B$2:$B$164)</f>
        <v>Économie</v>
      </c>
      <c r="C127" s="56" t="n">
        <v>134</v>
      </c>
      <c r="D127" s="55" t="str">
        <f aca="false">_xlfn.XLOOKUP(C127,'Annexe Etat'!$I$2:$I$164,'Annexe Etat'!$J$2:$J$164)</f>
        <v>Développement des entreprises et régulations</v>
      </c>
      <c r="E127" s="57" t="s">
        <v>158</v>
      </c>
      <c r="F127" s="58" t="n">
        <v>1</v>
      </c>
      <c r="G127" s="58" t="n">
        <f aca="false">H127+I127</f>
        <v>770</v>
      </c>
      <c r="H127" s="58" t="n">
        <v>767</v>
      </c>
      <c r="I127" s="58" t="n">
        <v>3</v>
      </c>
      <c r="J127" s="59" t="n">
        <f aca="false">K127+L127</f>
        <v>768</v>
      </c>
      <c r="K127" s="59" t="n">
        <v>761</v>
      </c>
      <c r="L127" s="59" t="n">
        <v>7</v>
      </c>
      <c r="R127" s="0" t="s">
        <v>36</v>
      </c>
    </row>
    <row r="128" customFormat="false" ht="25.5" hidden="false" customHeight="false" outlineLevel="0" collapsed="false">
      <c r="A128" s="55" t="str">
        <f aca="false">_xlfn.XLOOKUP(C128,'Annexe Etat'!$I$2:$I$164,'Annexe Etat'!$H$2:$H$164)</f>
        <v>RA</v>
      </c>
      <c r="B128" s="55" t="str">
        <f aca="false">_xlfn.XLOOKUP(A128,'Annexe Etat'!$A$2:$A$164,'Annexe Etat'!$B$2:$B$164)</f>
        <v>Recherche et enseignement supérieur</v>
      </c>
      <c r="C128" s="62" t="n">
        <v>172</v>
      </c>
      <c r="D128" s="55" t="str">
        <f aca="false">_xlfn.XLOOKUP(C128,'Annexe Etat'!$I$2:$I$164,'Annexe Etat'!$J$2:$J$164)</f>
        <v>Recherches scientifiques et technologiques pluridisciplinaires</v>
      </c>
      <c r="E128" s="57" t="s">
        <v>159</v>
      </c>
      <c r="F128" s="58" t="n">
        <v>1</v>
      </c>
      <c r="G128" s="60" t="n">
        <f aca="false">H128+I128</f>
        <v>12349</v>
      </c>
      <c r="H128" s="60" t="n">
        <v>9733</v>
      </c>
      <c r="I128" s="60" t="n">
        <v>2616</v>
      </c>
      <c r="J128" s="61" t="n">
        <f aca="false">K128+L128</f>
        <v>12346</v>
      </c>
      <c r="K128" s="61" t="n">
        <v>9733</v>
      </c>
      <c r="L128" s="61" t="n">
        <v>2613</v>
      </c>
      <c r="Q128" s="0" t="s">
        <v>36</v>
      </c>
    </row>
    <row r="129" customFormat="false" ht="25.5" hidden="false" customHeight="false" outlineLevel="0" collapsed="false">
      <c r="A129" s="55" t="str">
        <f aca="false">_xlfn.XLOOKUP(C129,'Annexe Etat'!$I$2:$I$164,'Annexe Etat'!$H$2:$H$164)</f>
        <v>CB</v>
      </c>
      <c r="B129" s="55" t="str">
        <f aca="false">_xlfn.XLOOKUP(A129,'Annexe Etat'!$A$2:$A$164,'Annexe Etat'!$B$2:$B$164)</f>
        <v>Culture</v>
      </c>
      <c r="C129" s="62" t="n">
        <v>175</v>
      </c>
      <c r="D129" s="55" t="str">
        <f aca="false">_xlfn.XLOOKUP(C129,'Annexe Etat'!$I$2:$I$164,'Annexe Etat'!$J$2:$J$164)</f>
        <v>Patrimoines</v>
      </c>
      <c r="E129" s="57" t="s">
        <v>160</v>
      </c>
      <c r="F129" s="58" t="n">
        <v>1</v>
      </c>
      <c r="G129" s="60" t="n">
        <f aca="false">H129+I129</f>
        <v>2050</v>
      </c>
      <c r="H129" s="60" t="n">
        <v>2010</v>
      </c>
      <c r="I129" s="58" t="n">
        <v>40</v>
      </c>
      <c r="J129" s="61" t="n">
        <f aca="false">K129+L129</f>
        <v>2043</v>
      </c>
      <c r="K129" s="61" t="n">
        <v>2003</v>
      </c>
      <c r="L129" s="59" t="n">
        <v>40</v>
      </c>
      <c r="R129" s="0" t="s">
        <v>36</v>
      </c>
    </row>
    <row r="130" customFormat="false" ht="25.5" hidden="false" customHeight="false" outlineLevel="0" collapsed="false">
      <c r="A130" s="55" t="str">
        <f aca="false">_xlfn.XLOOKUP(C130,'Annexe Etat'!$I$2:$I$164,'Annexe Etat'!$H$2:$H$164)</f>
        <v>RA</v>
      </c>
      <c r="B130" s="55" t="str">
        <f aca="false">_xlfn.XLOOKUP(A130,'Annexe Etat'!$A$2:$A$164,'Annexe Etat'!$B$2:$B$164)</f>
        <v>Recherche et enseignement supérieur</v>
      </c>
      <c r="C130" s="62" t="n">
        <v>172</v>
      </c>
      <c r="D130" s="55" t="str">
        <f aca="false">_xlfn.XLOOKUP(C130,'Annexe Etat'!$I$2:$I$164,'Annexe Etat'!$J$2:$J$164)</f>
        <v>Recherches scientifiques et technologiques pluridisciplinaires</v>
      </c>
      <c r="E130" s="57" t="s">
        <v>161</v>
      </c>
      <c r="F130" s="58" t="n">
        <v>1</v>
      </c>
      <c r="G130" s="60" t="n">
        <f aca="false">H130+I130</f>
        <v>3525</v>
      </c>
      <c r="H130" s="60" t="n">
        <v>1793</v>
      </c>
      <c r="I130" s="60" t="n">
        <v>1732</v>
      </c>
      <c r="J130" s="61" t="n">
        <f aca="false">K130+L130</f>
        <v>3418</v>
      </c>
      <c r="K130" s="61" t="n">
        <v>1793</v>
      </c>
      <c r="L130" s="61" t="n">
        <v>1625</v>
      </c>
      <c r="Q130" s="0" t="s">
        <v>36</v>
      </c>
    </row>
    <row r="131" customFormat="false" ht="25.5" hidden="false" customHeight="false" outlineLevel="0" collapsed="false">
      <c r="A131" s="55" t="str">
        <f aca="false">_xlfn.XLOOKUP(C131,'Annexe Etat'!$I$2:$I$164,'Annexe Etat'!$H$2:$H$164)</f>
        <v>SF</v>
      </c>
      <c r="B131" s="55" t="str">
        <f aca="false">_xlfn.XLOOKUP(A131,'Annexe Etat'!$A$2:$A$164,'Annexe Etat'!$B$2:$B$164)</f>
        <v>Sport, jeunesse et vie associative</v>
      </c>
      <c r="C131" s="56" t="n">
        <v>219</v>
      </c>
      <c r="D131" s="55" t="str">
        <f aca="false">_xlfn.XLOOKUP(C131,'Annexe Etat'!$I$2:$I$164,'Annexe Etat'!$J$2:$J$164)</f>
        <v>Sport</v>
      </c>
      <c r="E131" s="57" t="s">
        <v>162</v>
      </c>
      <c r="F131" s="58" t="n">
        <v>1</v>
      </c>
      <c r="G131" s="58" t="n">
        <f aca="false">H131+I131</f>
        <v>304</v>
      </c>
      <c r="H131" s="58" t="n">
        <v>279</v>
      </c>
      <c r="I131" s="58" t="n">
        <v>25</v>
      </c>
      <c r="J131" s="59" t="n">
        <f aca="false">K131+L131</f>
        <v>291</v>
      </c>
      <c r="K131" s="59" t="n">
        <v>276</v>
      </c>
      <c r="L131" s="59" t="n">
        <v>15</v>
      </c>
      <c r="Q131" s="0" t="s">
        <v>36</v>
      </c>
    </row>
    <row r="132" customFormat="false" ht="13.5" hidden="false" customHeight="false" outlineLevel="0" collapsed="false">
      <c r="A132" s="55" t="str">
        <f aca="false">_xlfn.XLOOKUP(C132,'Annexe Etat'!$I$2:$I$164,'Annexe Etat'!$H$2:$H$164)</f>
        <v>RA</v>
      </c>
      <c r="B132" s="55" t="str">
        <f aca="false">_xlfn.XLOOKUP(A132,'Annexe Etat'!$A$2:$A$164,'Annexe Etat'!$B$2:$B$164)</f>
        <v>Recherche et enseignement supérieur</v>
      </c>
      <c r="C132" s="62" t="n">
        <v>172</v>
      </c>
      <c r="D132" s="55" t="str">
        <f aca="false">_xlfn.XLOOKUP(C132,'Annexe Etat'!$I$2:$I$164,'Annexe Etat'!$J$2:$J$164)</f>
        <v>Recherches scientifiques et technologiques pluridisciplinaires</v>
      </c>
      <c r="E132" s="57" t="s">
        <v>163</v>
      </c>
      <c r="F132" s="58" t="n">
        <v>1</v>
      </c>
      <c r="G132" s="60" t="n">
        <f aca="false">H132+I132</f>
        <v>9432</v>
      </c>
      <c r="H132" s="60" t="n">
        <v>6252</v>
      </c>
      <c r="I132" s="60" t="n">
        <v>3180</v>
      </c>
      <c r="J132" s="61" t="n">
        <f aca="false">K132+L132</f>
        <v>9747</v>
      </c>
      <c r="K132" s="61" t="n">
        <v>6297</v>
      </c>
      <c r="L132" s="61" t="n">
        <v>3450</v>
      </c>
      <c r="Q132" s="0" t="s">
        <v>36</v>
      </c>
    </row>
    <row r="133" customFormat="false" ht="13.5" hidden="false" customHeight="false" outlineLevel="0" collapsed="false">
      <c r="A133" s="55" t="str">
        <f aca="false">_xlfn.XLOOKUP(C133,'Annexe Etat'!$I$2:$I$164,'Annexe Etat'!$H$2:$H$164)</f>
        <v>DC</v>
      </c>
      <c r="B133" s="55" t="str">
        <f aca="false">_xlfn.XLOOKUP(A133,'Annexe Etat'!$A$2:$A$164,'Annexe Etat'!$B$2:$B$164)</f>
        <v>Direction de l'action du Gouvernement</v>
      </c>
      <c r="C133" s="56" t="n">
        <v>129</v>
      </c>
      <c r="D133" s="55" t="str">
        <f aca="false">_xlfn.XLOOKUP(C133,'Annexe Etat'!$I$2:$I$164,'Annexe Etat'!$J$2:$J$164)</f>
        <v>Coordination du travail gouvernemental</v>
      </c>
      <c r="E133" s="57" t="s">
        <v>164</v>
      </c>
      <c r="F133" s="58" t="n">
        <v>1</v>
      </c>
      <c r="G133" s="58" t="n">
        <f aca="false">H133+I133</f>
        <v>469</v>
      </c>
      <c r="H133" s="58" t="n">
        <v>454</v>
      </c>
      <c r="I133" s="58" t="n">
        <v>15</v>
      </c>
      <c r="J133" s="59" t="n">
        <f aca="false">K133+L133</f>
        <v>457</v>
      </c>
      <c r="K133" s="59" t="n">
        <v>442</v>
      </c>
      <c r="L133" s="59" t="n">
        <v>15</v>
      </c>
      <c r="O133" s="0" t="s">
        <v>36</v>
      </c>
    </row>
    <row r="134" customFormat="false" ht="13.5" hidden="false" customHeight="false" outlineLevel="0" collapsed="false">
      <c r="A134" s="55" t="str">
        <f aca="false">_xlfn.XLOOKUP(C134,'Annexe Etat'!$I$2:$I$164,'Annexe Etat'!$H$2:$H$164)</f>
        <v>AA</v>
      </c>
      <c r="B134" s="55" t="str">
        <f aca="false">_xlfn.XLOOKUP(A134,'Annexe Etat'!$A$2:$A$164,'Annexe Etat'!$B$2:$B$164)</f>
        <v>Action extérieure de l'État</v>
      </c>
      <c r="C134" s="56" t="n">
        <v>185</v>
      </c>
      <c r="D134" s="55" t="str">
        <f aca="false">_xlfn.XLOOKUP(C134,'Annexe Etat'!$I$2:$I$164,'Annexe Etat'!$J$2:$J$164)</f>
        <v>Diplomatie culturelle et d'influence</v>
      </c>
      <c r="E134" s="57" t="s">
        <v>165</v>
      </c>
      <c r="F134" s="58" t="n">
        <v>1</v>
      </c>
      <c r="G134" s="58" t="n">
        <f aca="false">H134+I134</f>
        <v>172</v>
      </c>
      <c r="H134" s="58" t="n">
        <v>153</v>
      </c>
      <c r="I134" s="58" t="n">
        <v>19</v>
      </c>
      <c r="J134" s="59" t="n">
        <f aca="false">K134+L134</f>
        <v>172</v>
      </c>
      <c r="K134" s="59" t="n">
        <v>153</v>
      </c>
      <c r="L134" s="59" t="n">
        <v>19</v>
      </c>
      <c r="N134" s="0" t="s">
        <v>36</v>
      </c>
    </row>
    <row r="135" customFormat="false" ht="25.5" hidden="false" customHeight="false" outlineLevel="0" collapsed="false">
      <c r="A135" s="55" t="str">
        <f aca="false">_xlfn.XLOOKUP(C135,'Annexe Etat'!$I$2:$I$164,'Annexe Etat'!$H$2:$H$164)</f>
        <v>TB</v>
      </c>
      <c r="B135" s="55" t="str">
        <f aca="false">_xlfn.XLOOKUP(A135,'Annexe Etat'!$A$2:$A$164,'Annexe Etat'!$B$2:$B$164)</f>
        <v>Travail, emploi et administration des ministères sociaux</v>
      </c>
      <c r="C135" s="56" t="n">
        <v>155</v>
      </c>
      <c r="D135" s="55" t="str">
        <f aca="false">_xlfn.XLOOKUP(C135,'Annexe Etat'!$I$2:$I$164,'Annexe Etat'!$J$2:$J$164)</f>
        <v>Soutien des ministères sociaux</v>
      </c>
      <c r="E135" s="57" t="s">
        <v>166</v>
      </c>
      <c r="F135" s="58" t="n">
        <v>1</v>
      </c>
      <c r="G135" s="58" t="n">
        <f aca="false">H135+I135</f>
        <v>100</v>
      </c>
      <c r="H135" s="58" t="n">
        <v>91</v>
      </c>
      <c r="I135" s="58" t="n">
        <v>9</v>
      </c>
      <c r="J135" s="59" t="n">
        <f aca="false">K135+L135</f>
        <v>91</v>
      </c>
      <c r="K135" s="59" t="n">
        <v>91</v>
      </c>
      <c r="L135" s="59" t="n">
        <v>0</v>
      </c>
      <c r="O135" s="0" t="s">
        <v>36</v>
      </c>
    </row>
    <row r="136" customFormat="false" ht="13.5" hidden="false" customHeight="false" outlineLevel="0" collapsed="false">
      <c r="A136" s="55" t="str">
        <f aca="false">_xlfn.XLOOKUP(C136,'Annexe Etat'!$I$2:$I$164,'Annexe Etat'!$H$2:$H$164)</f>
        <v>RA</v>
      </c>
      <c r="B136" s="55" t="str">
        <f aca="false">_xlfn.XLOOKUP(A136,'Annexe Etat'!$A$2:$A$164,'Annexe Etat'!$B$2:$B$164)</f>
        <v>Recherche et enseignement supérieur</v>
      </c>
      <c r="C136" s="56" t="n">
        <v>172</v>
      </c>
      <c r="D136" s="55" t="str">
        <f aca="false">_xlfn.XLOOKUP(C136,'Annexe Etat'!$I$2:$I$164,'Annexe Etat'!$J$2:$J$164)</f>
        <v>Recherches scientifiques et technologiques pluridisciplinaires</v>
      </c>
      <c r="E136" s="57" t="s">
        <v>167</v>
      </c>
      <c r="F136" s="58" t="n">
        <v>1</v>
      </c>
      <c r="G136" s="58" t="n">
        <f aca="false">H136+I136</f>
        <v>68</v>
      </c>
      <c r="H136" s="58" t="n">
        <v>53</v>
      </c>
      <c r="I136" s="58" t="n">
        <v>15</v>
      </c>
      <c r="J136" s="59" t="n">
        <f aca="false">K136+L136</f>
        <v>68</v>
      </c>
      <c r="K136" s="59" t="n">
        <v>53</v>
      </c>
      <c r="L136" s="59" t="n">
        <v>15</v>
      </c>
      <c r="Q136" s="0" t="s">
        <v>36</v>
      </c>
    </row>
    <row r="137" customFormat="false" ht="13.5" hidden="false" customHeight="false" outlineLevel="0" collapsed="false">
      <c r="A137" s="55" t="str">
        <f aca="false">_xlfn.XLOOKUP(C137,'Annexe Etat'!$I$2:$I$164,'Annexe Etat'!$H$2:$H$164)</f>
        <v>DA</v>
      </c>
      <c r="B137" s="55" t="str">
        <f aca="false">_xlfn.XLOOKUP(A137,'Annexe Etat'!$A$2:$A$164,'Annexe Etat'!$B$2:$B$164)</f>
        <v>Défense</v>
      </c>
      <c r="C137" s="56" t="n">
        <v>144</v>
      </c>
      <c r="D137" s="55" t="str">
        <f aca="false">_xlfn.XLOOKUP(C137,'Annexe Etat'!$I$2:$I$164,'Annexe Etat'!$J$2:$J$164)</f>
        <v>Environnement et prospective de la politique de défense</v>
      </c>
      <c r="E137" s="57" t="s">
        <v>168</v>
      </c>
      <c r="F137" s="58" t="n">
        <v>1</v>
      </c>
      <c r="G137" s="58" t="n">
        <f aca="false">H137+I137</f>
        <v>32</v>
      </c>
      <c r="H137" s="58" t="n">
        <v>32</v>
      </c>
      <c r="I137" s="58" t="n">
        <v>0</v>
      </c>
      <c r="J137" s="59" t="n">
        <f aca="false">K137+L137</f>
        <v>105</v>
      </c>
      <c r="K137" s="59" t="n">
        <v>34</v>
      </c>
      <c r="L137" s="59" t="n">
        <v>71</v>
      </c>
      <c r="O137" s="0" t="s">
        <v>36</v>
      </c>
    </row>
    <row r="138" customFormat="false" ht="13.5" hidden="false" customHeight="false" outlineLevel="0" collapsed="false">
      <c r="A138" s="55" t="str">
        <f aca="false">_xlfn.XLOOKUP(C138,'Annexe Etat'!$I$2:$I$164,'Annexe Etat'!$H$2:$H$164)</f>
        <v>TR</v>
      </c>
      <c r="B138" s="55" t="str">
        <f aca="false">_xlfn.XLOOKUP(A138,'Annexe Etat'!$A$2:$A$164,'Annexe Etat'!$B$2:$B$164)</f>
        <v>Transformation et fonction publiques</v>
      </c>
      <c r="C138" s="56" t="n">
        <v>148</v>
      </c>
      <c r="D138" s="55" t="str">
        <f aca="false">_xlfn.XLOOKUP(C138,'Annexe Etat'!$I$2:$I$164,'Annexe Etat'!$J$2:$J$164)</f>
        <v>Fonction publique</v>
      </c>
      <c r="E138" s="57" t="s">
        <v>169</v>
      </c>
      <c r="F138" s="58" t="n">
        <v>5</v>
      </c>
      <c r="G138" s="58" t="n">
        <f aca="false">H138+I138</f>
        <v>745</v>
      </c>
      <c r="H138" s="58" t="n">
        <v>743</v>
      </c>
      <c r="I138" s="58" t="n">
        <v>2</v>
      </c>
      <c r="J138" s="59" t="n">
        <f aca="false">K138+L138</f>
        <v>752</v>
      </c>
      <c r="K138" s="59" t="n">
        <v>749</v>
      </c>
      <c r="L138" s="59" t="n">
        <v>3</v>
      </c>
      <c r="O138" s="0" t="s">
        <v>36</v>
      </c>
    </row>
    <row r="139" customFormat="false" ht="13.5" hidden="false" customHeight="false" outlineLevel="0" collapsed="false">
      <c r="A139" s="55" t="str">
        <f aca="false">_xlfn.XLOOKUP(C139,'Annexe Etat'!$I$2:$I$164,'Annexe Etat'!$H$2:$H$164)</f>
        <v>RA</v>
      </c>
      <c r="B139" s="55" t="str">
        <f aca="false">_xlfn.XLOOKUP(A139,'Annexe Etat'!$A$2:$A$164,'Annexe Etat'!$B$2:$B$164)</f>
        <v>Recherche et enseignement supérieur</v>
      </c>
      <c r="C139" s="62" t="n">
        <v>172</v>
      </c>
      <c r="D139" s="55" t="str">
        <f aca="false">_xlfn.XLOOKUP(C139,'Annexe Etat'!$I$2:$I$164,'Annexe Etat'!$J$2:$J$164)</f>
        <v>Recherches scientifiques et technologiques pluridisciplinaires</v>
      </c>
      <c r="E139" s="57" t="s">
        <v>170</v>
      </c>
      <c r="F139" s="60" t="n">
        <v>1</v>
      </c>
      <c r="G139" s="60" t="n">
        <f aca="false">H139+I139</f>
        <v>2415</v>
      </c>
      <c r="H139" s="60" t="n">
        <v>2120</v>
      </c>
      <c r="I139" s="58" t="n">
        <v>295</v>
      </c>
      <c r="J139" s="61" t="n">
        <f aca="false">K139+L139</f>
        <v>2572</v>
      </c>
      <c r="K139" s="61" t="n">
        <v>2120</v>
      </c>
      <c r="L139" s="59" t="n">
        <v>452</v>
      </c>
      <c r="O139" s="0" t="s">
        <v>36</v>
      </c>
    </row>
    <row r="140" customFormat="false" ht="13.5" hidden="false" customHeight="false" outlineLevel="0" collapsed="false">
      <c r="A140" s="55" t="str">
        <f aca="false">_xlfn.XLOOKUP(C140,'Annexe Etat'!$I$2:$I$164,'Annexe Etat'!$H$2:$H$164)</f>
        <v>DA</v>
      </c>
      <c r="B140" s="55" t="str">
        <f aca="false">_xlfn.XLOOKUP(A140,'Annexe Etat'!$A$2:$A$164,'Annexe Etat'!$B$2:$B$164)</f>
        <v>Défense</v>
      </c>
      <c r="C140" s="56" t="n">
        <v>144</v>
      </c>
      <c r="D140" s="55" t="str">
        <f aca="false">_xlfn.XLOOKUP(C140,'Annexe Etat'!$I$2:$I$164,'Annexe Etat'!$J$2:$J$164)</f>
        <v>Environnement et prospective de la politique de défense</v>
      </c>
      <c r="E140" s="57" t="s">
        <v>171</v>
      </c>
      <c r="F140" s="60" t="n">
        <v>1</v>
      </c>
      <c r="G140" s="58" t="n">
        <f aca="false">H140+I140</f>
        <v>649</v>
      </c>
      <c r="H140" s="58" t="n">
        <v>412</v>
      </c>
      <c r="I140" s="58" t="n">
        <v>237</v>
      </c>
      <c r="J140" s="59" t="n">
        <f aca="false">K140+L140</f>
        <v>637</v>
      </c>
      <c r="K140" s="59" t="n">
        <v>412</v>
      </c>
      <c r="L140" s="59" t="n">
        <v>225</v>
      </c>
      <c r="Q140" s="0" t="s">
        <v>36</v>
      </c>
    </row>
    <row r="141" customFormat="false" ht="13.5" hidden="false" customHeight="false" outlineLevel="0" collapsed="false">
      <c r="A141" s="55" t="str">
        <f aca="false">_xlfn.XLOOKUP(C141,'Annexe Etat'!$I$2:$I$164,'Annexe Etat'!$H$2:$H$164)</f>
        <v>OA</v>
      </c>
      <c r="B141" s="55" t="str">
        <f aca="false">_xlfn.XLOOKUP(A141,'Annexe Etat'!$A$2:$A$164,'Annexe Etat'!$B$2:$B$164)</f>
        <v>Outre-mer</v>
      </c>
      <c r="C141" s="56" t="n">
        <v>138</v>
      </c>
      <c r="D141" s="55" t="str">
        <f aca="false">_xlfn.XLOOKUP(C141,'Annexe Etat'!$I$2:$I$164,'Annexe Etat'!$J$2:$J$164)</f>
        <v>Emploi outre-mer</v>
      </c>
      <c r="E141" s="57" t="s">
        <v>172</v>
      </c>
      <c r="F141" s="60" t="n">
        <v>1</v>
      </c>
      <c r="G141" s="58" t="n">
        <f aca="false">H141+I141</f>
        <v>154</v>
      </c>
      <c r="H141" s="58" t="n">
        <v>139</v>
      </c>
      <c r="I141" s="58" t="n">
        <v>15</v>
      </c>
      <c r="J141" s="59" t="n">
        <f aca="false">K141+L141</f>
        <v>149</v>
      </c>
      <c r="K141" s="59" t="n">
        <v>134</v>
      </c>
      <c r="L141" s="59" t="n">
        <v>15</v>
      </c>
      <c r="O141" s="0" t="s">
        <v>36</v>
      </c>
    </row>
    <row r="142" customFormat="false" ht="13.5" hidden="false" customHeight="false" outlineLevel="0" collapsed="false">
      <c r="A142" s="55" t="str">
        <f aca="false">_xlfn.XLOOKUP(C142,'Annexe Etat'!$I$2:$I$164,'Annexe Etat'!$H$2:$H$164)</f>
        <v>RA</v>
      </c>
      <c r="B142" s="55" t="str">
        <f aca="false">_xlfn.XLOOKUP(A142,'Annexe Etat'!$A$2:$A$164,'Annexe Etat'!$B$2:$B$164)</f>
        <v>Recherche et enseignement supérieur</v>
      </c>
      <c r="C142" s="56" t="n">
        <v>192</v>
      </c>
      <c r="D142" s="55" t="str">
        <f aca="false">_xlfn.XLOOKUP(C142,'Annexe Etat'!$I$2:$I$164,'Annexe Etat'!$J$2:$J$164)</f>
        <v>Recherche et enseignement supérieur en matière économique et industrielle</v>
      </c>
      <c r="E142" s="57" t="s">
        <v>173</v>
      </c>
      <c r="F142" s="60" t="n">
        <v>1</v>
      </c>
      <c r="G142" s="58" t="n">
        <f aca="false">H142+I142</f>
        <v>603</v>
      </c>
      <c r="H142" s="58" t="n">
        <v>280</v>
      </c>
      <c r="I142" s="58" t="n">
        <v>323</v>
      </c>
      <c r="J142" s="59" t="n">
        <f aca="false">K142+L142</f>
        <v>598</v>
      </c>
      <c r="K142" s="59" t="n">
        <v>275</v>
      </c>
      <c r="L142" s="59" t="n">
        <v>323</v>
      </c>
      <c r="Q142" s="0" t="s">
        <v>36</v>
      </c>
    </row>
    <row r="143" customFormat="false" ht="13.5" hidden="false" customHeight="false" outlineLevel="0" collapsed="false">
      <c r="A143" s="55" t="str">
        <f aca="false">_xlfn.XLOOKUP(C143,'Annexe Etat'!$I$2:$I$164,'Annexe Etat'!$H$2:$H$164)</f>
        <v>CB</v>
      </c>
      <c r="B143" s="55" t="str">
        <f aca="false">_xlfn.XLOOKUP(A143,'Annexe Etat'!$A$2:$A$164,'Annexe Etat'!$B$2:$B$164)</f>
        <v>Culture</v>
      </c>
      <c r="C143" s="56" t="n">
        <v>131</v>
      </c>
      <c r="D143" s="55" t="str">
        <f aca="false">_xlfn.XLOOKUP(C143,'Annexe Etat'!$I$2:$I$164,'Annexe Etat'!$J$2:$J$164)</f>
        <v>Création</v>
      </c>
      <c r="E143" s="57" t="s">
        <v>174</v>
      </c>
      <c r="F143" s="60" t="n">
        <v>1</v>
      </c>
      <c r="G143" s="58" t="n">
        <f aca="false">H143+I143</f>
        <v>397</v>
      </c>
      <c r="H143" s="58" t="n">
        <v>397</v>
      </c>
      <c r="I143" s="58" t="n">
        <v>0</v>
      </c>
      <c r="J143" s="59" t="n">
        <f aca="false">K143+L143</f>
        <v>591</v>
      </c>
      <c r="K143" s="59" t="n">
        <v>591</v>
      </c>
      <c r="L143" s="59" t="n">
        <v>0</v>
      </c>
      <c r="P143" s="0" t="s">
        <v>36</v>
      </c>
    </row>
    <row r="144" customFormat="false" ht="13.5" hidden="false" customHeight="false" outlineLevel="0" collapsed="false">
      <c r="A144" s="55" t="str">
        <f aca="false">_xlfn.XLOOKUP(C144,'Annexe Etat'!$I$2:$I$164,'Annexe Etat'!$H$2:$H$164)</f>
        <v>TA</v>
      </c>
      <c r="B144" s="55" t="str">
        <f aca="false">_xlfn.XLOOKUP(A144,'Annexe Etat'!$A$2:$A$164,'Annexe Etat'!$B$2:$B$164)</f>
        <v>Écologie, développement et mobilité durables</v>
      </c>
      <c r="C144" s="62" t="n">
        <v>159</v>
      </c>
      <c r="D144" s="55" t="str">
        <f aca="false">_xlfn.XLOOKUP(C144,'Annexe Etat'!$I$2:$I$164,'Annexe Etat'!$J$2:$J$164)</f>
        <v>Expertise, information géographique et météorologie</v>
      </c>
      <c r="E144" s="57" t="s">
        <v>175</v>
      </c>
      <c r="F144" s="60" t="n">
        <v>1</v>
      </c>
      <c r="G144" s="60" t="n">
        <f aca="false">H144+I144</f>
        <v>2732</v>
      </c>
      <c r="H144" s="60" t="n">
        <v>2632</v>
      </c>
      <c r="I144" s="58" t="n">
        <v>100</v>
      </c>
      <c r="J144" s="61" t="n">
        <f aca="false">K144+L144</f>
        <v>2737</v>
      </c>
      <c r="K144" s="61" t="n">
        <v>2632</v>
      </c>
      <c r="L144" s="59" t="n">
        <v>105</v>
      </c>
      <c r="Q144" s="0" t="s">
        <v>36</v>
      </c>
    </row>
    <row r="145" customFormat="false" ht="13.5" hidden="false" customHeight="false" outlineLevel="0" collapsed="false">
      <c r="A145" s="55" t="str">
        <f aca="false">_xlfn.XLOOKUP(C145,'Annexe Etat'!$I$2:$I$164,'Annexe Etat'!$H$2:$H$164)</f>
        <v>SF</v>
      </c>
      <c r="B145" s="55" t="str">
        <f aca="false">_xlfn.XLOOKUP(A145,'Annexe Etat'!$A$2:$A$164,'Annexe Etat'!$B$2:$B$164)</f>
        <v>Sport, jeunesse et vie associative</v>
      </c>
      <c r="C145" s="56" t="n">
        <v>219</v>
      </c>
      <c r="D145" s="55" t="str">
        <f aca="false">_xlfn.XLOOKUP(C145,'Annexe Etat'!$I$2:$I$164,'Annexe Etat'!$J$2:$J$164)</f>
        <v>Sport</v>
      </c>
      <c r="E145" s="57" t="s">
        <v>176</v>
      </c>
      <c r="F145" s="60" t="n">
        <v>1</v>
      </c>
      <c r="G145" s="58" t="n">
        <f aca="false">H145+I145</f>
        <v>29</v>
      </c>
      <c r="H145" s="58" t="n">
        <v>23</v>
      </c>
      <c r="I145" s="58" t="n">
        <v>6</v>
      </c>
      <c r="J145" s="59" t="n">
        <f aca="false">K145+L145</f>
        <v>29</v>
      </c>
      <c r="K145" s="59" t="n">
        <v>23</v>
      </c>
      <c r="L145" s="59" t="n">
        <v>6</v>
      </c>
      <c r="P145" s="0" t="s">
        <v>36</v>
      </c>
    </row>
    <row r="146" customFormat="false" ht="25.5" hidden="false" customHeight="false" outlineLevel="0" collapsed="false">
      <c r="A146" s="55" t="str">
        <f aca="false">_xlfn.XLOOKUP(C146,'Annexe Etat'!$I$2:$I$164,'Annexe Etat'!$H$2:$H$164)</f>
        <v>CB</v>
      </c>
      <c r="B146" s="55" t="str">
        <f aca="false">_xlfn.XLOOKUP(A146,'Annexe Etat'!$A$2:$A$164,'Annexe Etat'!$B$2:$B$164)</f>
        <v>Culture</v>
      </c>
      <c r="C146" s="56" t="n">
        <v>175</v>
      </c>
      <c r="D146" s="55" t="str">
        <f aca="false">_xlfn.XLOOKUP(C146,'Annexe Etat'!$I$2:$I$164,'Annexe Etat'!$J$2:$J$164)</f>
        <v>Patrimoines</v>
      </c>
      <c r="E146" s="57" t="s">
        <v>177</v>
      </c>
      <c r="F146" s="60" t="n">
        <v>1</v>
      </c>
      <c r="G146" s="58" t="n">
        <f aca="false">H146+I146</f>
        <v>83</v>
      </c>
      <c r="H146" s="58" t="n">
        <v>63</v>
      </c>
      <c r="I146" s="58" t="n">
        <v>20</v>
      </c>
      <c r="J146" s="59" t="n">
        <f aca="false">K146+L146</f>
        <v>83</v>
      </c>
      <c r="K146" s="59" t="n">
        <v>63</v>
      </c>
      <c r="L146" s="59" t="n">
        <v>20</v>
      </c>
      <c r="P146" s="0" t="s">
        <v>36</v>
      </c>
    </row>
    <row r="147" customFormat="false" ht="13.5" hidden="false" customHeight="false" outlineLevel="0" collapsed="false">
      <c r="A147" s="55" t="str">
        <f aca="false">_xlfn.XLOOKUP(C147,'Annexe Etat'!$I$2:$I$164,'Annexe Etat'!$H$2:$H$164)</f>
        <v>CB</v>
      </c>
      <c r="B147" s="55" t="str">
        <f aca="false">_xlfn.XLOOKUP(A147,'Annexe Etat'!$A$2:$A$164,'Annexe Etat'!$B$2:$B$164)</f>
        <v>Culture</v>
      </c>
      <c r="C147" s="56" t="n">
        <v>175</v>
      </c>
      <c r="D147" s="55" t="str">
        <f aca="false">_xlfn.XLOOKUP(C147,'Annexe Etat'!$I$2:$I$164,'Annexe Etat'!$J$2:$J$164)</f>
        <v>Patrimoines</v>
      </c>
      <c r="E147" s="57" t="s">
        <v>178</v>
      </c>
      <c r="F147" s="60" t="n">
        <v>1</v>
      </c>
      <c r="G147" s="58" t="n">
        <f aca="false">H147+I147</f>
        <v>694</v>
      </c>
      <c r="H147" s="58" t="n">
        <v>666</v>
      </c>
      <c r="I147" s="58" t="n">
        <v>28</v>
      </c>
      <c r="J147" s="59" t="n">
        <f aca="false">K147+L147</f>
        <v>697</v>
      </c>
      <c r="K147" s="59" t="n">
        <v>669</v>
      </c>
      <c r="L147" s="59" t="n">
        <v>28</v>
      </c>
      <c r="P147" s="0" t="s">
        <v>36</v>
      </c>
    </row>
    <row r="148" customFormat="false" ht="13.5" hidden="false" customHeight="false" outlineLevel="0" collapsed="false">
      <c r="A148" s="55" t="str">
        <f aca="false">_xlfn.XLOOKUP(C148,'Annexe Etat'!$I$2:$I$164,'Annexe Etat'!$H$2:$H$164)</f>
        <v>DA</v>
      </c>
      <c r="B148" s="55" t="str">
        <f aca="false">_xlfn.XLOOKUP(A148,'Annexe Etat'!$A$2:$A$164,'Annexe Etat'!$B$2:$B$164)</f>
        <v>Défense</v>
      </c>
      <c r="C148" s="56" t="n">
        <v>212</v>
      </c>
      <c r="D148" s="55" t="str">
        <f aca="false">_xlfn.XLOOKUP(C148,'Annexe Etat'!$I$2:$I$164,'Annexe Etat'!$J$2:$J$164)</f>
        <v>Soutien de la politique de la défense</v>
      </c>
      <c r="E148" s="57" t="s">
        <v>179</v>
      </c>
      <c r="F148" s="60" t="n">
        <v>1</v>
      </c>
      <c r="G148" s="58" t="n">
        <f aca="false">H148+I148</f>
        <v>111</v>
      </c>
      <c r="H148" s="58" t="n">
        <v>104</v>
      </c>
      <c r="I148" s="58" t="n">
        <v>7</v>
      </c>
      <c r="J148" s="59" t="n">
        <f aca="false">K148+L148</f>
        <v>111</v>
      </c>
      <c r="K148" s="59" t="n">
        <v>104</v>
      </c>
      <c r="L148" s="59" t="n">
        <v>7</v>
      </c>
      <c r="P148" s="0" t="s">
        <v>36</v>
      </c>
    </row>
    <row r="149" customFormat="false" ht="13.5" hidden="false" customHeight="false" outlineLevel="0" collapsed="false">
      <c r="A149" s="55" t="str">
        <f aca="false">_xlfn.XLOOKUP(C149,'Annexe Etat'!$I$2:$I$164,'Annexe Etat'!$H$2:$H$164)</f>
        <v>DA</v>
      </c>
      <c r="B149" s="55" t="str">
        <f aca="false">_xlfn.XLOOKUP(A149,'Annexe Etat'!$A$2:$A$164,'Annexe Etat'!$B$2:$B$164)</f>
        <v>Défense</v>
      </c>
      <c r="C149" s="56" t="n">
        <v>212</v>
      </c>
      <c r="D149" s="55" t="str">
        <f aca="false">_xlfn.XLOOKUP(C149,'Annexe Etat'!$I$2:$I$164,'Annexe Etat'!$J$2:$J$164)</f>
        <v>Soutien de la politique de la défense</v>
      </c>
      <c r="E149" s="57" t="s">
        <v>180</v>
      </c>
      <c r="F149" s="60" t="n">
        <v>1</v>
      </c>
      <c r="G149" s="58" t="n">
        <f aca="false">H149+I149</f>
        <v>178</v>
      </c>
      <c r="H149" s="58" t="n">
        <v>168</v>
      </c>
      <c r="I149" s="58" t="n">
        <v>10</v>
      </c>
      <c r="J149" s="59" t="n">
        <f aca="false">K149+L149</f>
        <v>178</v>
      </c>
      <c r="K149" s="59" t="n">
        <v>168</v>
      </c>
      <c r="L149" s="59" t="n">
        <v>10</v>
      </c>
      <c r="P149" s="0" t="s">
        <v>36</v>
      </c>
    </row>
    <row r="150" customFormat="false" ht="13.5" hidden="false" customHeight="false" outlineLevel="0" collapsed="false">
      <c r="A150" s="55" t="str">
        <f aca="false">_xlfn.XLOOKUP(C150,'Annexe Etat'!$I$2:$I$164,'Annexe Etat'!$H$2:$H$164)</f>
        <v>CB</v>
      </c>
      <c r="B150" s="55" t="str">
        <f aca="false">_xlfn.XLOOKUP(A150,'Annexe Etat'!$A$2:$A$164,'Annexe Etat'!$B$2:$B$164)</f>
        <v>Culture</v>
      </c>
      <c r="C150" s="56" t="n">
        <v>175</v>
      </c>
      <c r="D150" s="55" t="str">
        <f aca="false">_xlfn.XLOOKUP(C150,'Annexe Etat'!$I$2:$I$164,'Annexe Etat'!$J$2:$J$164)</f>
        <v>Patrimoines</v>
      </c>
      <c r="E150" s="57" t="s">
        <v>181</v>
      </c>
      <c r="F150" s="60" t="n">
        <v>1</v>
      </c>
      <c r="G150" s="58" t="n">
        <f aca="false">H150+I150</f>
        <v>263</v>
      </c>
      <c r="H150" s="58" t="n">
        <v>263</v>
      </c>
      <c r="I150" s="58" t="n">
        <v>0</v>
      </c>
      <c r="J150" s="59" t="n">
        <f aca="false">K150+L150</f>
        <v>262</v>
      </c>
      <c r="K150" s="59" t="n">
        <v>262</v>
      </c>
      <c r="L150" s="59" t="n">
        <v>0</v>
      </c>
      <c r="P150" s="0" t="s">
        <v>36</v>
      </c>
    </row>
    <row r="151" customFormat="false" ht="13.5" hidden="false" customHeight="false" outlineLevel="0" collapsed="false">
      <c r="A151" s="55" t="str">
        <f aca="false">_xlfn.XLOOKUP(C151,'Annexe Etat'!$I$2:$I$164,'Annexe Etat'!$H$2:$H$164)</f>
        <v>CB</v>
      </c>
      <c r="B151" s="55" t="str">
        <f aca="false">_xlfn.XLOOKUP(A151,'Annexe Etat'!$A$2:$A$164,'Annexe Etat'!$B$2:$B$164)</f>
        <v>Culture</v>
      </c>
      <c r="C151" s="62" t="n">
        <v>175</v>
      </c>
      <c r="D151" s="55" t="str">
        <f aca="false">_xlfn.XLOOKUP(C151,'Annexe Etat'!$I$2:$I$164,'Annexe Etat'!$J$2:$J$164)</f>
        <v>Patrimoines</v>
      </c>
      <c r="E151" s="57" t="s">
        <v>182</v>
      </c>
      <c r="F151" s="60" t="n">
        <v>1</v>
      </c>
      <c r="G151" s="60" t="n">
        <f aca="false">H151+I151</f>
        <v>2017</v>
      </c>
      <c r="H151" s="60" t="n">
        <v>1972</v>
      </c>
      <c r="I151" s="58" t="n">
        <v>45</v>
      </c>
      <c r="J151" s="61" t="n">
        <f aca="false">K151+L151</f>
        <v>2020</v>
      </c>
      <c r="K151" s="61" t="n">
        <v>1975</v>
      </c>
      <c r="L151" s="59" t="n">
        <v>45</v>
      </c>
      <c r="P151" s="0" t="s">
        <v>36</v>
      </c>
    </row>
    <row r="152" customFormat="false" ht="13.5" hidden="false" customHeight="false" outlineLevel="0" collapsed="false">
      <c r="A152" s="55" t="str">
        <f aca="false">_xlfn.XLOOKUP(C152,'Annexe Etat'!$I$2:$I$164,'Annexe Etat'!$H$2:$H$164)</f>
        <v>CB</v>
      </c>
      <c r="B152" s="55" t="str">
        <f aca="false">_xlfn.XLOOKUP(A152,'Annexe Etat'!$A$2:$A$164,'Annexe Etat'!$B$2:$B$164)</f>
        <v>Culture</v>
      </c>
      <c r="C152" s="56" t="n">
        <v>175</v>
      </c>
      <c r="D152" s="55" t="str">
        <f aca="false">_xlfn.XLOOKUP(C152,'Annexe Etat'!$I$2:$I$164,'Annexe Etat'!$J$2:$J$164)</f>
        <v>Patrimoines</v>
      </c>
      <c r="E152" s="57" t="s">
        <v>183</v>
      </c>
      <c r="F152" s="60" t="n">
        <v>1</v>
      </c>
      <c r="G152" s="58" t="n">
        <f aca="false">H152+I152</f>
        <v>50</v>
      </c>
      <c r="H152" s="58" t="n">
        <v>50</v>
      </c>
      <c r="I152" s="58" t="n">
        <v>0</v>
      </c>
      <c r="J152" s="59" t="n">
        <f aca="false">K152+L152</f>
        <v>50</v>
      </c>
      <c r="K152" s="59" t="n">
        <v>50</v>
      </c>
      <c r="L152" s="59" t="n">
        <v>0</v>
      </c>
      <c r="P152" s="0" t="s">
        <v>36</v>
      </c>
    </row>
    <row r="153" customFormat="false" ht="13.5" hidden="false" customHeight="false" outlineLevel="0" collapsed="false">
      <c r="A153" s="55" t="str">
        <f aca="false">_xlfn.XLOOKUP(C153,'Annexe Etat'!$I$2:$I$164,'Annexe Etat'!$H$2:$H$164)</f>
        <v>CB</v>
      </c>
      <c r="B153" s="55" t="str">
        <f aca="false">_xlfn.XLOOKUP(A153,'Annexe Etat'!$A$2:$A$164,'Annexe Etat'!$B$2:$B$164)</f>
        <v>Culture</v>
      </c>
      <c r="C153" s="56" t="n">
        <v>175</v>
      </c>
      <c r="D153" s="55" t="str">
        <f aca="false">_xlfn.XLOOKUP(C153,'Annexe Etat'!$I$2:$I$164,'Annexe Etat'!$J$2:$J$164)</f>
        <v>Patrimoines</v>
      </c>
      <c r="E153" s="57" t="s">
        <v>184</v>
      </c>
      <c r="F153" s="60" t="n">
        <v>1</v>
      </c>
      <c r="G153" s="58" t="n">
        <f aca="false">H153+I153</f>
        <v>9</v>
      </c>
      <c r="H153" s="58" t="n">
        <v>7</v>
      </c>
      <c r="I153" s="58" t="n">
        <v>2</v>
      </c>
      <c r="J153" s="59" t="n">
        <f aca="false">K153+L153</f>
        <v>9</v>
      </c>
      <c r="K153" s="59" t="n">
        <v>7</v>
      </c>
      <c r="L153" s="59" t="n">
        <v>2</v>
      </c>
      <c r="P153" s="0" t="s">
        <v>36</v>
      </c>
    </row>
    <row r="154" customFormat="false" ht="13.5" hidden="false" customHeight="false" outlineLevel="0" collapsed="false">
      <c r="A154" s="55" t="str">
        <f aca="false">_xlfn.XLOOKUP(C154,'Annexe Etat'!$I$2:$I$164,'Annexe Etat'!$H$2:$H$164)</f>
        <v>DA</v>
      </c>
      <c r="B154" s="55" t="str">
        <f aca="false">_xlfn.XLOOKUP(A154,'Annexe Etat'!$A$2:$A$164,'Annexe Etat'!$B$2:$B$164)</f>
        <v>Défense</v>
      </c>
      <c r="C154" s="56" t="n">
        <v>212</v>
      </c>
      <c r="D154" s="55" t="str">
        <f aca="false">_xlfn.XLOOKUP(C154,'Annexe Etat'!$I$2:$I$164,'Annexe Etat'!$J$2:$J$164)</f>
        <v>Soutien de la politique de la défense</v>
      </c>
      <c r="E154" s="57" t="s">
        <v>185</v>
      </c>
      <c r="F154" s="60" t="n">
        <v>1</v>
      </c>
      <c r="G154" s="58" t="n">
        <f aca="false">H154+I154</f>
        <v>130</v>
      </c>
      <c r="H154" s="58" t="n">
        <v>120</v>
      </c>
      <c r="I154" s="58" t="n">
        <v>10</v>
      </c>
      <c r="J154" s="59" t="n">
        <f aca="false">K154+L154</f>
        <v>132</v>
      </c>
      <c r="K154" s="59" t="n">
        <v>120</v>
      </c>
      <c r="L154" s="59" t="n">
        <v>12</v>
      </c>
      <c r="P154" s="0" t="s">
        <v>36</v>
      </c>
    </row>
    <row r="155" customFormat="false" ht="13.5" hidden="false" customHeight="false" outlineLevel="0" collapsed="false">
      <c r="A155" s="55" t="str">
        <f aca="false">_xlfn.XLOOKUP(C155,'Annexe Etat'!$I$2:$I$164,'Annexe Etat'!$H$2:$H$164)</f>
        <v>CB</v>
      </c>
      <c r="B155" s="55" t="str">
        <f aca="false">_xlfn.XLOOKUP(A155,'Annexe Etat'!$A$2:$A$164,'Annexe Etat'!$B$2:$B$164)</f>
        <v>Culture</v>
      </c>
      <c r="C155" s="56" t="n">
        <v>175</v>
      </c>
      <c r="D155" s="55" t="str">
        <f aca="false">_xlfn.XLOOKUP(C155,'Annexe Etat'!$I$2:$I$164,'Annexe Etat'!$J$2:$J$164)</f>
        <v>Patrimoines</v>
      </c>
      <c r="E155" s="57" t="s">
        <v>186</v>
      </c>
      <c r="F155" s="60" t="n">
        <v>1</v>
      </c>
      <c r="G155" s="58" t="n">
        <f aca="false">H155+I155</f>
        <v>67</v>
      </c>
      <c r="H155" s="58" t="n">
        <v>45</v>
      </c>
      <c r="I155" s="58" t="n">
        <v>22</v>
      </c>
      <c r="J155" s="59" t="n">
        <f aca="false">K155+L155</f>
        <v>67</v>
      </c>
      <c r="K155" s="59" t="n">
        <v>45</v>
      </c>
      <c r="L155" s="59" t="n">
        <v>22</v>
      </c>
      <c r="P155" s="0" t="s">
        <v>36</v>
      </c>
    </row>
    <row r="156" customFormat="false" ht="25.5" hidden="false" customHeight="false" outlineLevel="0" collapsed="false">
      <c r="A156" s="55" t="str">
        <f aca="false">_xlfn.XLOOKUP(C156,'Annexe Etat'!$I$2:$I$164,'Annexe Etat'!$H$2:$H$164)</f>
        <v>AC</v>
      </c>
      <c r="B156" s="55" t="str">
        <f aca="false">_xlfn.XLOOKUP(A156,'Annexe Etat'!$A$2:$A$164,'Annexe Etat'!$B$2:$B$164)</f>
        <v>Agriculture, alimentation, forêt et affaires rurales</v>
      </c>
      <c r="C156" s="56" t="n">
        <v>149</v>
      </c>
      <c r="D156" s="55" t="str">
        <f aca="false">_xlfn.XLOOKUP(C156,'Annexe Etat'!$I$2:$I$164,'Annexe Etat'!$J$2:$J$164)</f>
        <v>Compétitivité et durabilité de l'agriculture, de l'agroalimentaire et de la forêt</v>
      </c>
      <c r="E156" s="57" t="s">
        <v>187</v>
      </c>
      <c r="F156" s="60" t="n">
        <v>1</v>
      </c>
      <c r="G156" s="58" t="n">
        <f aca="false">H156+I156</f>
        <v>42</v>
      </c>
      <c r="H156" s="58" t="n">
        <v>41</v>
      </c>
      <c r="I156" s="58" t="n">
        <v>1</v>
      </c>
      <c r="J156" s="59" t="n">
        <f aca="false">K156+L156</f>
        <v>41</v>
      </c>
      <c r="K156" s="59" t="n">
        <v>40</v>
      </c>
      <c r="L156" s="59" t="n">
        <v>1</v>
      </c>
      <c r="O156" s="0" t="s">
        <v>36</v>
      </c>
    </row>
    <row r="157" customFormat="false" ht="13.5" hidden="false" customHeight="false" outlineLevel="0" collapsed="false">
      <c r="A157" s="55" t="str">
        <f aca="false">_xlfn.XLOOKUP(C157,'Annexe Etat'!$I$2:$I$164,'Annexe Etat'!$H$2:$H$164)</f>
        <v>TA</v>
      </c>
      <c r="B157" s="55" t="str">
        <f aca="false">_xlfn.XLOOKUP(A157,'Annexe Etat'!$A$2:$A$164,'Annexe Etat'!$B$2:$B$164)</f>
        <v>Écologie, développement et mobilité durables</v>
      </c>
      <c r="C157" s="62" t="n">
        <v>113</v>
      </c>
      <c r="D157" s="55" t="str">
        <f aca="false">_xlfn.XLOOKUP(C157,'Annexe Etat'!$I$2:$I$164,'Annexe Etat'!$J$2:$J$164)</f>
        <v>Paysages, eau et biodiversité</v>
      </c>
      <c r="E157" s="57" t="s">
        <v>188</v>
      </c>
      <c r="F157" s="60" t="n">
        <v>1</v>
      </c>
      <c r="G157" s="60" t="n">
        <f aca="false">H157+I157</f>
        <v>3020</v>
      </c>
      <c r="H157" s="60" t="n">
        <v>2750</v>
      </c>
      <c r="I157" s="58" t="n">
        <v>270</v>
      </c>
      <c r="J157" s="61" t="n">
        <f aca="false">K157+L157</f>
        <v>3013</v>
      </c>
      <c r="K157" s="61" t="n">
        <v>2736</v>
      </c>
      <c r="L157" s="59" t="n">
        <v>277</v>
      </c>
      <c r="R157" s="0" t="s">
        <v>36</v>
      </c>
    </row>
    <row r="158" customFormat="false" ht="25.5" hidden="false" customHeight="false" outlineLevel="0" collapsed="false">
      <c r="A158" s="55" t="str">
        <f aca="false">_xlfn.XLOOKUP(C158,'Annexe Etat'!$I$2:$I$164,'Annexe Etat'!$H$2:$H$164)</f>
        <v>DC</v>
      </c>
      <c r="B158" s="55" t="str">
        <f aca="false">_xlfn.XLOOKUP(A158,'Annexe Etat'!$A$2:$A$164,'Annexe Etat'!$B$2:$B$164)</f>
        <v>Direction de l'action du Gouvernement</v>
      </c>
      <c r="C158" s="56" t="n">
        <v>129</v>
      </c>
      <c r="D158" s="55" t="str">
        <f aca="false">_xlfn.XLOOKUP(C158,'Annexe Etat'!$I$2:$I$164,'Annexe Etat'!$J$2:$J$164)</f>
        <v>Coordination du travail gouvernemental</v>
      </c>
      <c r="E158" s="57" t="s">
        <v>189</v>
      </c>
      <c r="F158" s="60" t="n">
        <v>1</v>
      </c>
      <c r="G158" s="58" t="n">
        <f aca="false">H158+I158</f>
        <v>35</v>
      </c>
      <c r="H158" s="58" t="n">
        <v>30</v>
      </c>
      <c r="I158" s="58" t="n">
        <v>5</v>
      </c>
      <c r="J158" s="59" t="n">
        <f aca="false">K158+L158</f>
        <v>35</v>
      </c>
      <c r="K158" s="59" t="n">
        <v>30</v>
      </c>
      <c r="L158" s="59" t="n">
        <v>5</v>
      </c>
      <c r="R158" s="0" t="s">
        <v>36</v>
      </c>
    </row>
    <row r="159" customFormat="false" ht="13.5" hidden="false" customHeight="false" outlineLevel="0" collapsed="false">
      <c r="A159" s="55" t="str">
        <f aca="false">_xlfn.XLOOKUP(C159,'Annexe Etat'!$I$2:$I$164,'Annexe Etat'!$H$2:$H$164)</f>
        <v>IA</v>
      </c>
      <c r="B159" s="55" t="str">
        <f aca="false">_xlfn.XLOOKUP(A159,'Annexe Etat'!$A$2:$A$164,'Annexe Etat'!$B$2:$B$164)</f>
        <v>Immigration, asile et intégration</v>
      </c>
      <c r="C159" s="62" t="n">
        <v>104</v>
      </c>
      <c r="D159" s="55" t="str">
        <f aca="false">_xlfn.XLOOKUP(C159,'Annexe Etat'!$I$2:$I$164,'Annexe Etat'!$J$2:$J$164)</f>
        <v>Intégration et accès à la nationalité française</v>
      </c>
      <c r="E159" s="57" t="s">
        <v>190</v>
      </c>
      <c r="F159" s="60" t="n">
        <v>1</v>
      </c>
      <c r="G159" s="60" t="n">
        <f aca="false">H159+I159</f>
        <v>1193</v>
      </c>
      <c r="H159" s="60" t="n">
        <v>1193</v>
      </c>
      <c r="I159" s="58" t="n">
        <v>0</v>
      </c>
      <c r="J159" s="61" t="n">
        <f aca="false">K159+L159</f>
        <v>1195</v>
      </c>
      <c r="K159" s="61" t="n">
        <v>1195</v>
      </c>
      <c r="L159" s="59" t="n">
        <v>0</v>
      </c>
      <c r="R159" s="0" t="s">
        <v>36</v>
      </c>
    </row>
    <row r="160" customFormat="false" ht="13.5" hidden="false" customHeight="false" outlineLevel="0" collapsed="false">
      <c r="A160" s="55" t="str">
        <f aca="false">_xlfn.XLOOKUP(C160,'Annexe Etat'!$I$2:$I$164,'Annexe Etat'!$H$2:$H$164)</f>
        <v>IA</v>
      </c>
      <c r="B160" s="55" t="str">
        <f aca="false">_xlfn.XLOOKUP(A160,'Annexe Etat'!$A$2:$A$164,'Annexe Etat'!$B$2:$B$164)</f>
        <v>Immigration, asile et intégration</v>
      </c>
      <c r="C160" s="62" t="n">
        <v>303</v>
      </c>
      <c r="D160" s="55" t="str">
        <f aca="false">_xlfn.XLOOKUP(C160,'Annexe Etat'!$I$2:$I$164,'Annexe Etat'!$J$2:$J$164)</f>
        <v>Immigration et asile</v>
      </c>
      <c r="E160" s="57" t="s">
        <v>191</v>
      </c>
      <c r="F160" s="60" t="n">
        <v>1</v>
      </c>
      <c r="G160" s="60" t="n">
        <f aca="false">H160+I160</f>
        <v>1065</v>
      </c>
      <c r="H160" s="60" t="n">
        <v>1065</v>
      </c>
      <c r="I160" s="58" t="n">
        <v>0</v>
      </c>
      <c r="J160" s="61" t="n">
        <f aca="false">K160+L160</f>
        <v>1113</v>
      </c>
      <c r="K160" s="61" t="n">
        <v>1113</v>
      </c>
      <c r="L160" s="59" t="n">
        <v>0</v>
      </c>
      <c r="R160" s="0" t="s">
        <v>36</v>
      </c>
    </row>
    <row r="161" customFormat="false" ht="25.5" hidden="false" customHeight="false" outlineLevel="0" collapsed="false">
      <c r="A161" s="55" t="str">
        <f aca="false">_xlfn.XLOOKUP(C161,'Annexe Etat'!$I$2:$I$164,'Annexe Etat'!$H$2:$H$164)</f>
        <v>MB</v>
      </c>
      <c r="B161" s="55" t="str">
        <f aca="false">_xlfn.XLOOKUP(A161,'Annexe Etat'!$A$2:$A$164,'Annexe Etat'!$B$2:$B$164)</f>
        <v>Monde combattant, mémoire et liens avec la Nation</v>
      </c>
      <c r="C161" s="56" t="n">
        <v>169</v>
      </c>
      <c r="D161" s="55" t="str">
        <f aca="false">_xlfn.XLOOKUP(C161,'Annexe Etat'!$I$2:$I$164,'Annexe Etat'!$J$2:$J$164)</f>
        <v>Reconnaissance et réparation en faveur du monde combattant, mémoire et liens avec la Nation</v>
      </c>
      <c r="E161" s="57" t="s">
        <v>192</v>
      </c>
      <c r="F161" s="60" t="n">
        <v>1</v>
      </c>
      <c r="G161" s="58" t="n">
        <f aca="false">H161+I161</f>
        <v>805</v>
      </c>
      <c r="H161" s="58" t="n">
        <v>779</v>
      </c>
      <c r="I161" s="58" t="n">
        <v>26</v>
      </c>
      <c r="J161" s="59" t="n">
        <f aca="false">K161+L161</f>
        <v>805</v>
      </c>
      <c r="K161" s="59" t="n">
        <v>779</v>
      </c>
      <c r="L161" s="59" t="n">
        <v>26</v>
      </c>
      <c r="R161" s="0" t="s">
        <v>36</v>
      </c>
    </row>
    <row r="162" customFormat="false" ht="13.5" hidden="false" customHeight="false" outlineLevel="0" collapsed="false">
      <c r="A162" s="55" t="str">
        <f aca="false">_xlfn.XLOOKUP(C162,'Annexe Etat'!$I$2:$I$164,'Annexe Etat'!$H$2:$H$164)</f>
        <v>DA</v>
      </c>
      <c r="B162" s="55" t="str">
        <f aca="false">_xlfn.XLOOKUP(A162,'Annexe Etat'!$A$2:$A$164,'Annexe Etat'!$B$2:$B$164)</f>
        <v>Défense</v>
      </c>
      <c r="C162" s="62" t="n">
        <v>144</v>
      </c>
      <c r="D162" s="55" t="str">
        <f aca="false">_xlfn.XLOOKUP(C162,'Annexe Etat'!$I$2:$I$164,'Annexe Etat'!$J$2:$J$164)</f>
        <v>Environnement et prospective de la politique de défense</v>
      </c>
      <c r="E162" s="57" t="s">
        <v>193</v>
      </c>
      <c r="F162" s="60" t="n">
        <v>1</v>
      </c>
      <c r="G162" s="60" t="n">
        <f aca="false">H162+I162</f>
        <v>2110</v>
      </c>
      <c r="H162" s="60" t="n">
        <v>1815</v>
      </c>
      <c r="I162" s="58" t="n">
        <v>295</v>
      </c>
      <c r="J162" s="61" t="n">
        <f aca="false">K162+L162</f>
        <v>2110</v>
      </c>
      <c r="K162" s="61" t="n">
        <v>1815</v>
      </c>
      <c r="L162" s="59" t="n">
        <v>295</v>
      </c>
      <c r="Q162" s="0" t="s">
        <v>36</v>
      </c>
    </row>
    <row r="163" customFormat="false" ht="13.5" hidden="false" customHeight="false" outlineLevel="0" collapsed="false">
      <c r="A163" s="55" t="str">
        <f aca="false">_xlfn.XLOOKUP(C163,'Annexe Etat'!$I$2:$I$164,'Annexe Etat'!$H$2:$H$164)</f>
        <v>AC</v>
      </c>
      <c r="B163" s="55" t="str">
        <f aca="false">_xlfn.XLOOKUP(A163,'Annexe Etat'!$A$2:$A$164,'Annexe Etat'!$B$2:$B$164)</f>
        <v>Agriculture, alimentation, forêt et affaires rurales</v>
      </c>
      <c r="C163" s="62" t="n">
        <v>149</v>
      </c>
      <c r="D163" s="55" t="str">
        <f aca="false">_xlfn.XLOOKUP(C163,'Annexe Etat'!$I$2:$I$164,'Annexe Etat'!$J$2:$J$164)</f>
        <v>Compétitivité et durabilité de l'agriculture, de l'agroalimentaire et de la forêt</v>
      </c>
      <c r="E163" s="57" t="s">
        <v>194</v>
      </c>
      <c r="F163" s="60" t="n">
        <v>1</v>
      </c>
      <c r="G163" s="60" t="n">
        <f aca="false">H163+I163</f>
        <v>8446</v>
      </c>
      <c r="H163" s="60" t="n">
        <v>7946</v>
      </c>
      <c r="I163" s="58" t="n">
        <v>500</v>
      </c>
      <c r="J163" s="61" t="n">
        <f aca="false">K163+L163</f>
        <v>8374</v>
      </c>
      <c r="K163" s="61" t="n">
        <v>7914</v>
      </c>
      <c r="L163" s="59" t="n">
        <v>460</v>
      </c>
      <c r="P163" s="0" t="s">
        <v>36</v>
      </c>
    </row>
    <row r="164" customFormat="false" ht="25.5" hidden="false" customHeight="false" outlineLevel="0" collapsed="false">
      <c r="A164" s="55" t="str">
        <f aca="false">_xlfn.XLOOKUP(C164,'Annexe Etat'!$I$2:$I$164,'Annexe Etat'!$H$2:$H$164)</f>
        <v>EC</v>
      </c>
      <c r="B164" s="55" t="str">
        <f aca="false">_xlfn.XLOOKUP(A164,'Annexe Etat'!$A$2:$A$164,'Annexe Etat'!$B$2:$B$164)</f>
        <v>Enseignement scolaire</v>
      </c>
      <c r="C164" s="56" t="n">
        <v>214</v>
      </c>
      <c r="D164" s="55" t="str">
        <f aca="false">_xlfn.XLOOKUP(C164,'Annexe Etat'!$I$2:$I$164,'Annexe Etat'!$J$2:$J$164)</f>
        <v>Soutien de la politique de l'éducation nationale</v>
      </c>
      <c r="E164" s="57" t="s">
        <v>195</v>
      </c>
      <c r="F164" s="60" t="n">
        <v>1</v>
      </c>
      <c r="G164" s="58" t="n">
        <f aca="false">H164+I164</f>
        <v>348</v>
      </c>
      <c r="H164" s="58" t="n">
        <v>316</v>
      </c>
      <c r="I164" s="58" t="n">
        <v>32</v>
      </c>
      <c r="J164" s="59" t="n">
        <f aca="false">K164+L164</f>
        <v>326</v>
      </c>
      <c r="K164" s="59" t="n">
        <v>296</v>
      </c>
      <c r="L164" s="59" t="n">
        <v>30</v>
      </c>
      <c r="O164" s="0" t="s">
        <v>36</v>
      </c>
    </row>
    <row r="165" customFormat="false" ht="13.5" hidden="false" customHeight="false" outlineLevel="0" collapsed="false">
      <c r="A165" s="55" t="str">
        <f aca="false">_xlfn.XLOOKUP(C165,'Annexe Etat'!$I$2:$I$164,'Annexe Etat'!$H$2:$H$164)</f>
        <v>CB</v>
      </c>
      <c r="B165" s="55" t="str">
        <f aca="false">_xlfn.XLOOKUP(A165,'Annexe Etat'!$A$2:$A$164,'Annexe Etat'!$B$2:$B$164)</f>
        <v>Culture</v>
      </c>
      <c r="C165" s="56" t="n">
        <v>131</v>
      </c>
      <c r="D165" s="55" t="str">
        <f aca="false">_xlfn.XLOOKUP(C165,'Annexe Etat'!$I$2:$I$164,'Annexe Etat'!$J$2:$J$164)</f>
        <v>Création</v>
      </c>
      <c r="E165" s="57" t="s">
        <v>196</v>
      </c>
      <c r="F165" s="60" t="n">
        <v>1</v>
      </c>
      <c r="G165" s="58" t="n">
        <f aca="false">H165+I165</f>
        <v>94</v>
      </c>
      <c r="H165" s="58" t="n">
        <v>94</v>
      </c>
      <c r="I165" s="58" t="n">
        <v>0</v>
      </c>
      <c r="J165" s="59" t="n">
        <f aca="false">K165+L165</f>
        <v>93</v>
      </c>
      <c r="K165" s="59" t="n">
        <v>93</v>
      </c>
      <c r="L165" s="59" t="n">
        <v>0</v>
      </c>
      <c r="P165" s="0" t="s">
        <v>36</v>
      </c>
    </row>
    <row r="166" customFormat="false" ht="13.5" hidden="false" customHeight="false" outlineLevel="0" collapsed="false">
      <c r="A166" s="55" t="str">
        <f aca="false">_xlfn.XLOOKUP(C166,'Annexe Etat'!$I$2:$I$164,'Annexe Etat'!$H$2:$H$164)</f>
        <v>CB</v>
      </c>
      <c r="B166" s="55" t="str">
        <f aca="false">_xlfn.XLOOKUP(A166,'Annexe Etat'!$A$2:$A$164,'Annexe Etat'!$B$2:$B$164)</f>
        <v>Culture</v>
      </c>
      <c r="C166" s="62" t="n">
        <v>131</v>
      </c>
      <c r="D166" s="55" t="str">
        <f aca="false">_xlfn.XLOOKUP(C166,'Annexe Etat'!$I$2:$I$164,'Annexe Etat'!$J$2:$J$164)</f>
        <v>Création</v>
      </c>
      <c r="E166" s="57" t="s">
        <v>197</v>
      </c>
      <c r="F166" s="60" t="n">
        <v>1</v>
      </c>
      <c r="G166" s="60" t="n">
        <f aca="false">H166+I166</f>
        <v>1546</v>
      </c>
      <c r="H166" s="60" t="n">
        <v>1478</v>
      </c>
      <c r="I166" s="58" t="n">
        <v>68</v>
      </c>
      <c r="J166" s="61" t="n">
        <f aca="false">K166+L166</f>
        <v>1544</v>
      </c>
      <c r="K166" s="61" t="n">
        <v>1476</v>
      </c>
      <c r="L166" s="59" t="n">
        <v>68</v>
      </c>
      <c r="P166" s="0" t="s">
        <v>36</v>
      </c>
    </row>
    <row r="167" customFormat="false" ht="25.5" hidden="false" customHeight="false" outlineLevel="0" collapsed="false">
      <c r="A167" s="55" t="str">
        <f aca="false">_xlfn.XLOOKUP(C167,'Annexe Etat'!$I$2:$I$164,'Annexe Etat'!$H$2:$H$164)</f>
        <v>RA</v>
      </c>
      <c r="B167" s="55" t="str">
        <f aca="false">_xlfn.XLOOKUP(A167,'Annexe Etat'!$A$2:$A$164,'Annexe Etat'!$B$2:$B$164)</f>
        <v>Recherche et enseignement supérieur</v>
      </c>
      <c r="C167" s="56" t="n">
        <v>150</v>
      </c>
      <c r="D167" s="55" t="str">
        <f aca="false">_xlfn.XLOOKUP(C167,'Annexe Etat'!$I$2:$I$164,'Annexe Etat'!$J$2:$J$164)</f>
        <v>Formations supérieures et recherche universitaire</v>
      </c>
      <c r="E167" s="57" t="s">
        <v>198</v>
      </c>
      <c r="F167" s="60" t="n">
        <v>12</v>
      </c>
      <c r="G167" s="58" t="n">
        <f aca="false">H167+I167</f>
        <v>542</v>
      </c>
      <c r="H167" s="58" t="n">
        <v>286</v>
      </c>
      <c r="I167" s="58" t="n">
        <v>256</v>
      </c>
      <c r="J167" s="59" t="n">
        <f aca="false">K167+L167</f>
        <v>528</v>
      </c>
      <c r="K167" s="59" t="n">
        <v>286</v>
      </c>
      <c r="L167" s="59" t="n">
        <v>242</v>
      </c>
      <c r="O167" s="0" t="s">
        <v>36</v>
      </c>
    </row>
    <row r="168" customFormat="false" ht="25.5" hidden="false" customHeight="false" outlineLevel="0" collapsed="false">
      <c r="A168" s="55" t="str">
        <f aca="false">_xlfn.XLOOKUP(C168,'Annexe Etat'!$I$2:$I$164,'Annexe Etat'!$H$2:$H$164)</f>
        <v>CB</v>
      </c>
      <c r="B168" s="55" t="str">
        <f aca="false">_xlfn.XLOOKUP(A168,'Annexe Etat'!$A$2:$A$164,'Annexe Etat'!$B$2:$B$164)</f>
        <v>Culture</v>
      </c>
      <c r="C168" s="56" t="n">
        <v>224</v>
      </c>
      <c r="D168" s="55" t="str">
        <f aca="false">_xlfn.XLOOKUP(C168,'Annexe Etat'!$I$2:$I$164,'Annexe Etat'!$J$2:$J$164)</f>
        <v>Soutien aux politiques du ministère de la culture</v>
      </c>
      <c r="E168" s="57" t="s">
        <v>199</v>
      </c>
      <c r="F168" s="60" t="n">
        <v>1</v>
      </c>
      <c r="G168" s="58" t="n">
        <f aca="false">H168+I168</f>
        <v>132</v>
      </c>
      <c r="H168" s="58" t="n">
        <v>129</v>
      </c>
      <c r="I168" s="58" t="n">
        <v>3</v>
      </c>
      <c r="J168" s="59" t="n">
        <f aca="false">K168+L168</f>
        <v>136</v>
      </c>
      <c r="K168" s="59" t="n">
        <v>136</v>
      </c>
      <c r="L168" s="59" t="n">
        <v>0</v>
      </c>
      <c r="O168" s="0" t="s">
        <v>36</v>
      </c>
    </row>
    <row r="169" customFormat="false" ht="25.5" hidden="false" customHeight="false" outlineLevel="0" collapsed="false">
      <c r="A169" s="55" t="str">
        <f aca="false">_xlfn.XLOOKUP(C169,'Annexe Etat'!$I$2:$I$164,'Annexe Etat'!$H$2:$H$164)</f>
        <v>MB</v>
      </c>
      <c r="B169" s="55" t="str">
        <f aca="false">_xlfn.XLOOKUP(A169,'Annexe Etat'!$A$2:$A$164,'Annexe Etat'!$B$2:$B$164)</f>
        <v>Monde combattant, mémoire et liens avec la Nation</v>
      </c>
      <c r="C169" s="56" t="n">
        <v>169</v>
      </c>
      <c r="D169" s="55" t="str">
        <f aca="false">_xlfn.XLOOKUP(C169,'Annexe Etat'!$I$2:$I$164,'Annexe Etat'!$J$2:$J$164)</f>
        <v>Reconnaissance et réparation en faveur du monde combattant, mémoire et liens avec la Nation</v>
      </c>
      <c r="E169" s="57" t="s">
        <v>200</v>
      </c>
      <c r="F169" s="60" t="n">
        <v>1</v>
      </c>
      <c r="G169" s="58" t="n">
        <f aca="false">H169+I169</f>
        <v>17</v>
      </c>
      <c r="H169" s="58" t="n">
        <v>16</v>
      </c>
      <c r="I169" s="58" t="n">
        <v>1</v>
      </c>
      <c r="J169" s="59" t="n">
        <f aca="false">K169+L169</f>
        <v>17</v>
      </c>
      <c r="K169" s="59" t="n">
        <v>16</v>
      </c>
      <c r="L169" s="59" t="n">
        <v>1</v>
      </c>
      <c r="P169" s="0" t="s">
        <v>36</v>
      </c>
    </row>
    <row r="170" customFormat="false" ht="13.5" hidden="false" customHeight="false" outlineLevel="0" collapsed="false">
      <c r="A170" s="55" t="str">
        <f aca="false">_xlfn.XLOOKUP(C170,'Annexe Etat'!$I$2:$I$164,'Annexe Etat'!$H$2:$H$164)</f>
        <v>TA</v>
      </c>
      <c r="B170" s="55" t="str">
        <f aca="false">_xlfn.XLOOKUP(A170,'Annexe Etat'!$A$2:$A$164,'Annexe Etat'!$B$2:$B$164)</f>
        <v>Écologie, développement et mobilité durables</v>
      </c>
      <c r="C170" s="56" t="n">
        <v>113</v>
      </c>
      <c r="D170" s="55" t="str">
        <f aca="false">_xlfn.XLOOKUP(C170,'Annexe Etat'!$I$2:$I$164,'Annexe Etat'!$J$2:$J$164)</f>
        <v>Paysages, eau et biodiversité</v>
      </c>
      <c r="E170" s="57" t="s">
        <v>201</v>
      </c>
      <c r="F170" s="58" t="n">
        <v>11</v>
      </c>
      <c r="G170" s="58" t="n">
        <f aca="false">H170+I170</f>
        <v>966</v>
      </c>
      <c r="H170" s="58" t="n">
        <v>851</v>
      </c>
      <c r="I170" s="58" t="n">
        <v>115</v>
      </c>
      <c r="J170" s="59" t="n">
        <f aca="false">K170+L170</f>
        <v>970</v>
      </c>
      <c r="K170" s="59" t="n">
        <v>851</v>
      </c>
      <c r="L170" s="59" t="n">
        <v>119</v>
      </c>
      <c r="R170" s="64" t="s">
        <v>36</v>
      </c>
    </row>
    <row r="171" customFormat="false" ht="13.5" hidden="false" customHeight="false" outlineLevel="0" collapsed="false">
      <c r="A171" s="55" t="str">
        <f aca="false">_xlfn.XLOOKUP(C171,'Annexe Etat'!$I$2:$I$164,'Annexe Etat'!$H$2:$H$164)</f>
        <v>CB</v>
      </c>
      <c r="B171" s="55" t="str">
        <f aca="false">_xlfn.XLOOKUP(A171,'Annexe Etat'!$A$2:$A$164,'Annexe Etat'!$B$2:$B$164)</f>
        <v>Culture</v>
      </c>
      <c r="C171" s="56" t="n">
        <v>361</v>
      </c>
      <c r="D171" s="55" t="str">
        <f aca="false">_xlfn.XLOOKUP(C171,'Annexe Etat'!$I$2:$I$164,'Annexe Etat'!$J$2:$J$164)</f>
        <v>Transmission des savoirs et démocratisation de la culture</v>
      </c>
      <c r="E171" s="57" t="s">
        <v>202</v>
      </c>
      <c r="F171" s="58" t="n">
        <v>1</v>
      </c>
      <c r="G171" s="58" t="n">
        <f aca="false">H171+I171</f>
        <v>0</v>
      </c>
      <c r="H171" s="58" t="n">
        <v>0</v>
      </c>
      <c r="I171" s="58" t="n">
        <v>0</v>
      </c>
      <c r="J171" s="59" t="n">
        <f aca="false">K171+L171</f>
        <v>176</v>
      </c>
      <c r="K171" s="59" t="n">
        <v>176</v>
      </c>
      <c r="L171" s="59" t="n">
        <v>0</v>
      </c>
      <c r="O171" s="0" t="s">
        <v>36</v>
      </c>
    </row>
    <row r="172" customFormat="false" ht="13.5" hidden="false" customHeight="false" outlineLevel="0" collapsed="false">
      <c r="A172" s="55" t="str">
        <f aca="false">_xlfn.XLOOKUP(C172,'Annexe Etat'!$I$2:$I$164,'Annexe Etat'!$H$2:$H$164)</f>
        <v>EC</v>
      </c>
      <c r="B172" s="55" t="str">
        <f aca="false">_xlfn.XLOOKUP(A172,'Annexe Etat'!$A$2:$A$164,'Annexe Etat'!$B$2:$B$164)</f>
        <v>Enseignement scolaire</v>
      </c>
      <c r="C172" s="62" t="n">
        <v>214</v>
      </c>
      <c r="D172" s="55" t="str">
        <f aca="false">_xlfn.XLOOKUP(C172,'Annexe Etat'!$I$2:$I$164,'Annexe Etat'!$J$2:$J$164)</f>
        <v>Soutien de la politique de l'éducation nationale</v>
      </c>
      <c r="E172" s="57" t="s">
        <v>203</v>
      </c>
      <c r="F172" s="58" t="n">
        <v>1</v>
      </c>
      <c r="G172" s="60" t="n">
        <f aca="false">H172+I172</f>
        <v>1301</v>
      </c>
      <c r="H172" s="60" t="n">
        <v>1237</v>
      </c>
      <c r="I172" s="58" t="n">
        <v>64</v>
      </c>
      <c r="J172" s="61" t="n">
        <f aca="false">K172+L172</f>
        <v>1190</v>
      </c>
      <c r="K172" s="61" t="n">
        <v>1137</v>
      </c>
      <c r="L172" s="59" t="n">
        <v>53</v>
      </c>
      <c r="O172" s="0" t="s">
        <v>36</v>
      </c>
    </row>
    <row r="173" customFormat="false" ht="13.5" hidden="false" customHeight="false" outlineLevel="0" collapsed="false">
      <c r="A173" s="55" t="str">
        <f aca="false">_xlfn.XLOOKUP(C173,'Annexe Etat'!$I$2:$I$164,'Annexe Etat'!$H$2:$H$164)</f>
        <v>RA</v>
      </c>
      <c r="B173" s="55" t="str">
        <f aca="false">_xlfn.XLOOKUP(A173,'Annexe Etat'!$A$2:$A$164,'Annexe Etat'!$B$2:$B$164)</f>
        <v>Recherche et enseignement supérieur</v>
      </c>
      <c r="C173" s="62" t="n">
        <v>231</v>
      </c>
      <c r="D173" s="55" t="str">
        <f aca="false">_xlfn.XLOOKUP(C173,'Annexe Etat'!$I$2:$I$164,'Annexe Etat'!$J$2:$J$164)</f>
        <v>Vie étudiante</v>
      </c>
      <c r="E173" s="57" t="s">
        <v>204</v>
      </c>
      <c r="F173" s="58" t="n">
        <v>27</v>
      </c>
      <c r="G173" s="60" t="n">
        <f aca="false">H173+I173</f>
        <v>13074</v>
      </c>
      <c r="H173" s="60" t="n">
        <v>12833</v>
      </c>
      <c r="I173" s="58" t="n">
        <v>241</v>
      </c>
      <c r="J173" s="61" t="n">
        <f aca="false">K173+L173</f>
        <v>12993</v>
      </c>
      <c r="K173" s="61" t="n">
        <v>12833</v>
      </c>
      <c r="L173" s="59" t="n">
        <v>160</v>
      </c>
      <c r="O173" s="0" t="s">
        <v>36</v>
      </c>
    </row>
    <row r="174" customFormat="false" ht="13.5" hidden="false" customHeight="false" outlineLevel="0" collapsed="false">
      <c r="A174" s="55" t="str">
        <f aca="false">_xlfn.XLOOKUP(C174,'Annexe Etat'!$I$2:$I$164,'Annexe Etat'!$H$2:$H$164)</f>
        <v>CB</v>
      </c>
      <c r="B174" s="55" t="str">
        <f aca="false">_xlfn.XLOOKUP(A174,'Annexe Etat'!$A$2:$A$164,'Annexe Etat'!$B$2:$B$164)</f>
        <v>Culture</v>
      </c>
      <c r="C174" s="56" t="n">
        <v>175</v>
      </c>
      <c r="D174" s="55" t="str">
        <f aca="false">_xlfn.XLOOKUP(C174,'Annexe Etat'!$I$2:$I$164,'Annexe Etat'!$J$2:$J$164)</f>
        <v>Patrimoines</v>
      </c>
      <c r="E174" s="57" t="s">
        <v>205</v>
      </c>
      <c r="F174" s="58" t="n">
        <v>1</v>
      </c>
      <c r="G174" s="58" t="n">
        <f aca="false">H174+I174</f>
        <v>997</v>
      </c>
      <c r="H174" s="58" t="n">
        <v>892</v>
      </c>
      <c r="I174" s="58" t="n">
        <v>105</v>
      </c>
      <c r="J174" s="59" t="n">
        <f aca="false">K174+L174</f>
        <v>1008</v>
      </c>
      <c r="K174" s="59" t="n">
        <v>903</v>
      </c>
      <c r="L174" s="59" t="n">
        <v>105</v>
      </c>
      <c r="P174" s="0" t="s">
        <v>36</v>
      </c>
    </row>
    <row r="175" customFormat="false" ht="13.5" hidden="false" customHeight="false" outlineLevel="0" collapsed="false">
      <c r="A175" s="55" t="str">
        <f aca="false">_xlfn.XLOOKUP(C175,'Annexe Etat'!$I$2:$I$164,'Annexe Etat'!$H$2:$H$164)</f>
        <v>TA</v>
      </c>
      <c r="B175" s="55" t="str">
        <f aca="false">_xlfn.XLOOKUP(A175,'Annexe Etat'!$A$2:$A$164,'Annexe Etat'!$B$2:$B$164)</f>
        <v>Écologie, développement et mobilité durables</v>
      </c>
      <c r="C175" s="56" t="n">
        <v>203</v>
      </c>
      <c r="D175" s="55" t="str">
        <f aca="false">_xlfn.XLOOKUP(C175,'Annexe Etat'!$I$2:$I$164,'Annexe Etat'!$J$2:$J$164)</f>
        <v>Infrastructures et services de transports</v>
      </c>
      <c r="E175" s="57" t="s">
        <v>206</v>
      </c>
      <c r="F175" s="58" t="n">
        <v>1</v>
      </c>
      <c r="G175" s="58" t="n">
        <f aca="false">H175+I175</f>
        <v>953</v>
      </c>
      <c r="H175" s="58" t="n">
        <v>953</v>
      </c>
      <c r="I175" s="58" t="n">
        <v>0</v>
      </c>
      <c r="J175" s="59" t="n">
        <f aca="false">K175+L175</f>
        <v>1012</v>
      </c>
      <c r="K175" s="59" t="n">
        <v>960</v>
      </c>
      <c r="L175" s="59" t="n">
        <v>52</v>
      </c>
      <c r="O175" s="0" t="s">
        <v>36</v>
      </c>
    </row>
    <row r="176" customFormat="false" ht="13.5" hidden="false" customHeight="false" outlineLevel="0" collapsed="false">
      <c r="A176" s="55" t="str">
        <f aca="false">_xlfn.XLOOKUP(C176,'Annexe Etat'!$I$2:$I$164,'Annexe Etat'!$H$2:$H$164)</f>
        <v>DA</v>
      </c>
      <c r="B176" s="55" t="str">
        <f aca="false">_xlfn.XLOOKUP(A176,'Annexe Etat'!$A$2:$A$164,'Annexe Etat'!$B$2:$B$164)</f>
        <v>Défense</v>
      </c>
      <c r="C176" s="56" t="n">
        <v>212</v>
      </c>
      <c r="D176" s="55" t="str">
        <f aca="false">_xlfn.XLOOKUP(C176,'Annexe Etat'!$I$2:$I$164,'Annexe Etat'!$J$2:$J$164)</f>
        <v>Soutien de la politique de la défense</v>
      </c>
      <c r="E176" s="57" t="s">
        <v>207</v>
      </c>
      <c r="F176" s="58" t="n">
        <v>1</v>
      </c>
      <c r="G176" s="58" t="n">
        <f aca="false">H176+I176</f>
        <v>565</v>
      </c>
      <c r="H176" s="58" t="n">
        <v>505</v>
      </c>
      <c r="I176" s="58" t="n">
        <v>60</v>
      </c>
      <c r="J176" s="59" t="n">
        <f aca="false">K176+L176</f>
        <v>575</v>
      </c>
      <c r="K176" s="59" t="n">
        <v>505</v>
      </c>
      <c r="L176" s="59" t="n">
        <v>70</v>
      </c>
      <c r="P176" s="0" t="s">
        <v>36</v>
      </c>
    </row>
    <row r="177" customFormat="false" ht="13.5" hidden="false" customHeight="false" outlineLevel="0" collapsed="false">
      <c r="A177" s="55" t="str">
        <f aca="false">_xlfn.XLOOKUP(C177,'Annexe Etat'!$I$2:$I$164,'Annexe Etat'!$H$2:$H$164)</f>
        <v>SF</v>
      </c>
      <c r="B177" s="55" t="str">
        <f aca="false">_xlfn.XLOOKUP(A177,'Annexe Etat'!$A$2:$A$164,'Annexe Etat'!$B$2:$B$164)</f>
        <v>Sport, jeunesse et vie associative</v>
      </c>
      <c r="C177" s="56" t="n">
        <v>385</v>
      </c>
      <c r="D177" s="55" t="str">
        <f aca="false">_xlfn.XLOOKUP(C177,'Annexe Etat'!$I$2:$I$164,'Annexe Etat'!$J$2:$J$164)</f>
        <v>Jeux olympiques et paralympiques d'hiver 2030</v>
      </c>
      <c r="E177" s="57" t="s">
        <v>208</v>
      </c>
      <c r="F177" s="58" t="n">
        <v>1</v>
      </c>
      <c r="G177" s="58" t="n">
        <f aca="false">H177+I177</f>
        <v>0</v>
      </c>
      <c r="H177" s="58" t="n">
        <v>0</v>
      </c>
      <c r="I177" s="58" t="n">
        <v>0</v>
      </c>
      <c r="J177" s="59" t="n">
        <f aca="false">K177+L177</f>
        <v>51</v>
      </c>
      <c r="K177" s="59" t="n">
        <v>51</v>
      </c>
      <c r="L177" s="59" t="n">
        <v>0</v>
      </c>
      <c r="O177" s="0" t="s">
        <v>36</v>
      </c>
    </row>
    <row r="178" customFormat="false" ht="13.5" hidden="false" customHeight="false" outlineLevel="0" collapsed="false">
      <c r="A178" s="55" t="str">
        <f aca="false">_xlfn.XLOOKUP(C178,'Annexe Etat'!$I$2:$I$164,'Annexe Etat'!$H$2:$H$164)</f>
        <v>CB</v>
      </c>
      <c r="B178" s="55" t="str">
        <f aca="false">_xlfn.XLOOKUP(A178,'Annexe Etat'!$A$2:$A$164,'Annexe Etat'!$B$2:$B$164)</f>
        <v>Culture</v>
      </c>
      <c r="C178" s="56" t="n">
        <v>131</v>
      </c>
      <c r="D178" s="55" t="str">
        <f aca="false">_xlfn.XLOOKUP(C178,'Annexe Etat'!$I$2:$I$164,'Annexe Etat'!$J$2:$J$164)</f>
        <v>Création</v>
      </c>
      <c r="E178" s="57" t="s">
        <v>209</v>
      </c>
      <c r="F178" s="58" t="n">
        <v>1</v>
      </c>
      <c r="G178" s="58" t="n">
        <f aca="false">H178+I178</f>
        <v>95</v>
      </c>
      <c r="H178" s="58" t="n">
        <v>95</v>
      </c>
      <c r="I178" s="58" t="n">
        <v>0</v>
      </c>
      <c r="J178" s="59" t="n">
        <f aca="false">K178+L178</f>
        <v>95</v>
      </c>
      <c r="K178" s="59" t="n">
        <v>95</v>
      </c>
      <c r="L178" s="59" t="n">
        <v>0</v>
      </c>
      <c r="N178" s="0" t="s">
        <v>36</v>
      </c>
    </row>
    <row r="179" customFormat="false" ht="13.5" hidden="false" customHeight="false" outlineLevel="0" collapsed="false">
      <c r="A179" s="55" t="str">
        <f aca="false">_xlfn.XLOOKUP(C179,'Annexe Etat'!$I$2:$I$164,'Annexe Etat'!$H$2:$H$164)</f>
        <v>CB</v>
      </c>
      <c r="B179" s="55" t="str">
        <f aca="false">_xlfn.XLOOKUP(A179,'Annexe Etat'!$A$2:$A$164,'Annexe Etat'!$B$2:$B$164)</f>
        <v>Culture</v>
      </c>
      <c r="C179" s="56" t="n">
        <v>131</v>
      </c>
      <c r="D179" s="55" t="str">
        <f aca="false">_xlfn.XLOOKUP(C179,'Annexe Etat'!$I$2:$I$164,'Annexe Etat'!$J$2:$J$164)</f>
        <v>Création</v>
      </c>
      <c r="E179" s="57" t="s">
        <v>210</v>
      </c>
      <c r="F179" s="58" t="n">
        <v>1</v>
      </c>
      <c r="G179" s="58" t="n">
        <f aca="false">H179+I179</f>
        <v>131</v>
      </c>
      <c r="H179" s="58" t="n">
        <v>131</v>
      </c>
      <c r="I179" s="58" t="n">
        <v>0</v>
      </c>
      <c r="J179" s="59" t="n">
        <f aca="false">K179+L179</f>
        <v>130</v>
      </c>
      <c r="K179" s="59" t="n">
        <v>130</v>
      </c>
      <c r="L179" s="59" t="n">
        <v>0</v>
      </c>
      <c r="N179" s="0" t="s">
        <v>36</v>
      </c>
    </row>
    <row r="180" customFormat="false" ht="13.5" hidden="false" customHeight="false" outlineLevel="0" collapsed="false">
      <c r="A180" s="55" t="str">
        <f aca="false">_xlfn.XLOOKUP(C180,'Annexe Etat'!$I$2:$I$164,'Annexe Etat'!$H$2:$H$164)</f>
        <v>CB</v>
      </c>
      <c r="B180" s="55" t="str">
        <f aca="false">_xlfn.XLOOKUP(A180,'Annexe Etat'!$A$2:$A$164,'Annexe Etat'!$B$2:$B$164)</f>
        <v>Culture</v>
      </c>
      <c r="C180" s="56" t="n">
        <v>131</v>
      </c>
      <c r="D180" s="55" t="str">
        <f aca="false">_xlfn.XLOOKUP(C180,'Annexe Etat'!$I$2:$I$164,'Annexe Etat'!$J$2:$J$164)</f>
        <v>Création</v>
      </c>
      <c r="E180" s="57" t="s">
        <v>211</v>
      </c>
      <c r="F180" s="58" t="n">
        <v>1</v>
      </c>
      <c r="G180" s="58" t="n">
        <f aca="false">H180+I180</f>
        <v>99</v>
      </c>
      <c r="H180" s="58" t="n">
        <v>99</v>
      </c>
      <c r="I180" s="58" t="n">
        <v>0</v>
      </c>
      <c r="J180" s="59" t="n">
        <f aca="false">K180+L180</f>
        <v>98</v>
      </c>
      <c r="K180" s="59" t="n">
        <v>98</v>
      </c>
      <c r="L180" s="59" t="n">
        <v>0</v>
      </c>
      <c r="N180" s="0" t="s">
        <v>36</v>
      </c>
    </row>
    <row r="181" customFormat="false" ht="13.5" hidden="false" customHeight="false" outlineLevel="0" collapsed="false">
      <c r="A181" s="55" t="str">
        <f aca="false">_xlfn.XLOOKUP(C181,'Annexe Etat'!$I$2:$I$164,'Annexe Etat'!$H$2:$H$164)</f>
        <v>CB</v>
      </c>
      <c r="B181" s="55" t="str">
        <f aca="false">_xlfn.XLOOKUP(A181,'Annexe Etat'!$A$2:$A$164,'Annexe Etat'!$B$2:$B$164)</f>
        <v>Culture</v>
      </c>
      <c r="C181" s="62" t="n">
        <v>361</v>
      </c>
      <c r="D181" s="55" t="str">
        <f aca="false">_xlfn.XLOOKUP(C181,'Annexe Etat'!$I$2:$I$164,'Annexe Etat'!$J$2:$J$164)</f>
        <v>Transmission des savoirs et démocratisation de la culture</v>
      </c>
      <c r="E181" s="57" t="s">
        <v>212</v>
      </c>
      <c r="F181" s="58" t="n">
        <v>1</v>
      </c>
      <c r="G181" s="60" t="n">
        <f aca="false">H181+I181</f>
        <v>1021</v>
      </c>
      <c r="H181" s="60" t="n">
        <v>1021</v>
      </c>
      <c r="I181" s="58" t="n">
        <v>0</v>
      </c>
      <c r="J181" s="61" t="n">
        <f aca="false">K181+L181</f>
        <v>1014</v>
      </c>
      <c r="K181" s="61" t="n">
        <v>1014</v>
      </c>
      <c r="L181" s="59" t="n">
        <v>0</v>
      </c>
      <c r="P181" s="0" t="s">
        <v>36</v>
      </c>
    </row>
    <row r="182" customFormat="false" ht="13.5" hidden="false" customHeight="false" outlineLevel="0" collapsed="false">
      <c r="A182" s="55" t="str">
        <f aca="false">_xlfn.XLOOKUP(C182,'Annexe Etat'!$I$2:$I$164,'Annexe Etat'!$H$2:$H$164)</f>
        <v>RA</v>
      </c>
      <c r="B182" s="55" t="str">
        <f aca="false">_xlfn.XLOOKUP(A182,'Annexe Etat'!$A$2:$A$164,'Annexe Etat'!$B$2:$B$164)</f>
        <v>Recherche et enseignement supérieur</v>
      </c>
      <c r="C182" s="62" t="n">
        <v>150</v>
      </c>
      <c r="D182" s="55" t="str">
        <f aca="false">_xlfn.XLOOKUP(C182,'Annexe Etat'!$I$2:$I$164,'Annexe Etat'!$J$2:$J$164)</f>
        <v>Formations supérieures et recherche universitaire</v>
      </c>
      <c r="E182" s="57" t="s">
        <v>213</v>
      </c>
      <c r="F182" s="60" t="n">
        <v>71</v>
      </c>
      <c r="G182" s="60" t="n">
        <f aca="false">H182+I182</f>
        <v>174380</v>
      </c>
      <c r="H182" s="60" t="n">
        <v>145261</v>
      </c>
      <c r="I182" s="60" t="n">
        <v>29119</v>
      </c>
      <c r="J182" s="61" t="n">
        <f aca="false">K182+L182</f>
        <v>176660</v>
      </c>
      <c r="K182" s="61" t="n">
        <v>145288</v>
      </c>
      <c r="L182" s="61" t="n">
        <v>31372</v>
      </c>
      <c r="Q182" s="0" t="s">
        <v>36</v>
      </c>
    </row>
    <row r="183" customFormat="false" ht="13.5" hidden="false" customHeight="false" outlineLevel="0" collapsed="false">
      <c r="A183" s="55" t="str">
        <f aca="false">_xlfn.XLOOKUP(C183,'Annexe Etat'!$I$2:$I$164,'Annexe Etat'!$H$2:$H$164)</f>
        <v>TA</v>
      </c>
      <c r="B183" s="55" t="str">
        <f aca="false">_xlfn.XLOOKUP(A183,'Annexe Etat'!$A$2:$A$164,'Annexe Etat'!$B$2:$B$164)</f>
        <v>Écologie, développement et mobilité durables</v>
      </c>
      <c r="C183" s="62" t="n">
        <v>203</v>
      </c>
      <c r="D183" s="55" t="str">
        <f aca="false">_xlfn.XLOOKUP(C183,'Annexe Etat'!$I$2:$I$164,'Annexe Etat'!$J$2:$J$164)</f>
        <v>Infrastructures et services de transports</v>
      </c>
      <c r="E183" s="57" t="s">
        <v>214</v>
      </c>
      <c r="F183" s="60" t="n">
        <v>1</v>
      </c>
      <c r="G183" s="60" t="n">
        <f aca="false">H183+I183</f>
        <v>4030</v>
      </c>
      <c r="H183" s="60" t="n">
        <v>3990</v>
      </c>
      <c r="I183" s="58" t="n">
        <v>40</v>
      </c>
      <c r="J183" s="61" t="n">
        <f aca="false">K183+L183</f>
        <v>4026</v>
      </c>
      <c r="K183" s="61" t="n">
        <v>3950</v>
      </c>
      <c r="L183" s="59" t="n">
        <v>76</v>
      </c>
      <c r="N183" s="0" t="s">
        <v>36</v>
      </c>
    </row>
    <row r="184" customFormat="false" ht="13.5" hidden="false" customHeight="false" outlineLevel="0" collapsed="false">
      <c r="A184" s="55" t="str">
        <f aca="false">_xlfn.XLOOKUP(C184,'Annexe Etat'!$I$2:$I$164,'Annexe Etat'!$H$2:$H$164)</f>
        <v>DA</v>
      </c>
      <c r="B184" s="55" t="str">
        <f aca="false">_xlfn.XLOOKUP(A184,'Annexe Etat'!$A$2:$A$164,'Annexe Etat'!$B$2:$B$164)</f>
        <v>Défense</v>
      </c>
      <c r="C184" s="62" t="n">
        <v>144</v>
      </c>
      <c r="D184" s="55" t="str">
        <f aca="false">_xlfn.XLOOKUP(C184,'Annexe Etat'!$I$2:$I$164,'Annexe Etat'!$J$2:$J$164)</f>
        <v>Environnement et prospective de la politique de défense</v>
      </c>
      <c r="E184" s="57" t="s">
        <v>215</v>
      </c>
      <c r="F184" s="60" t="n">
        <v>1</v>
      </c>
      <c r="G184" s="60" t="n">
        <f aca="false">H184+I184</f>
        <v>3271</v>
      </c>
      <c r="H184" s="60" t="n">
        <v>2694</v>
      </c>
      <c r="I184" s="58" t="n">
        <v>577</v>
      </c>
      <c r="J184" s="61" t="n">
        <f aca="false">K184+L184</f>
        <v>3308</v>
      </c>
      <c r="K184" s="61" t="n">
        <v>2692</v>
      </c>
      <c r="L184" s="59" t="n">
        <v>616</v>
      </c>
      <c r="Q184" s="0" t="s">
        <v>36</v>
      </c>
    </row>
  </sheetData>
  <autoFilter ref="A4:R18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757" activePane="bottomRight" state="frozen"/>
      <selection pane="topLeft" activeCell="A1" activeCellId="0" sqref="A1"/>
      <selection pane="topRight" activeCell="B1" activeCellId="0" sqref="B1"/>
      <selection pane="bottomLeft" activeCell="A757" activeCellId="0" sqref="A757"/>
      <selection pane="bottomRight" activeCell="H740" activeCellId="0" sqref="H740"/>
    </sheetView>
  </sheetViews>
  <sheetFormatPr defaultColWidth="11.0546875" defaultRowHeight="12.5" customHeight="false" zeroHeight="false" outlineLevelRow="0" outlineLevelCol="0"/>
  <cols>
    <col collapsed="false" customWidth="true" hidden="false" outlineLevel="0" max="1" min="1" style="0" width="69.08"/>
    <col collapsed="false" customWidth="true" hidden="false" outlineLevel="0" max="2" min="2" style="65" width="5.99"/>
    <col collapsed="false" customWidth="true" hidden="false" outlineLevel="0" max="3" min="3" style="43" width="10.9"/>
    <col collapsed="false" customWidth="true" hidden="false" outlineLevel="0" max="8" min="4" style="43" width="8.35"/>
  </cols>
  <sheetData>
    <row r="1" customFormat="false" ht="26" hidden="false" customHeight="false" outlineLevel="0" collapsed="false">
      <c r="B1" s="66" t="s">
        <v>216</v>
      </c>
      <c r="C1" s="67" t="s">
        <v>217</v>
      </c>
      <c r="D1" s="48" t="s">
        <v>29</v>
      </c>
      <c r="E1" s="48" t="s">
        <v>5</v>
      </c>
      <c r="F1" s="49" t="s">
        <v>30</v>
      </c>
      <c r="G1" s="49" t="s">
        <v>31</v>
      </c>
      <c r="H1" s="49" t="s">
        <v>32</v>
      </c>
    </row>
    <row r="2" customFormat="false" ht="12.5" hidden="false" customHeight="false" outlineLevel="0" collapsed="false">
      <c r="B2" s="66" t="n">
        <f aca="false">B4+B726+B752</f>
        <v>24000</v>
      </c>
      <c r="C2" s="67" t="n">
        <f aca="false">SUMIFS($B6:$B777,C6:C777,"oui")</f>
        <v>384</v>
      </c>
      <c r="D2" s="67" t="n">
        <f aca="false">SUMIFS($B6:$B777,D6:D777,"X")</f>
        <v>410</v>
      </c>
      <c r="E2" s="67" t="n">
        <f aca="false">SUMIFS($B6:$B777,E6:E777,"X")</f>
        <v>13708</v>
      </c>
      <c r="F2" s="67" t="n">
        <f aca="false">SUMIFS($B6:$B777,F6:F777,"X")</f>
        <v>4</v>
      </c>
      <c r="G2" s="67" t="n">
        <f aca="false">SUMIFS($B6:$B777,G6:G777,"X")</f>
        <v>9172</v>
      </c>
      <c r="H2" s="67" t="n">
        <f aca="false">SUMIFS($B6:$B777,H6:H777,"X")</f>
        <v>317</v>
      </c>
    </row>
    <row r="3" customFormat="false" ht="5" hidden="false" customHeight="true" outlineLevel="0" collapsed="false">
      <c r="B3" s="0"/>
      <c r="C3" s="0"/>
      <c r="D3" s="0"/>
      <c r="E3" s="0"/>
      <c r="F3" s="0"/>
      <c r="G3" s="0"/>
      <c r="H3" s="0"/>
    </row>
    <row r="4" customFormat="false" ht="13" hidden="false" customHeight="false" outlineLevel="0" collapsed="false">
      <c r="A4" s="54" t="s">
        <v>218</v>
      </c>
      <c r="B4" s="68" t="n">
        <f aca="false">SUM(B6:B724)</f>
        <v>700</v>
      </c>
      <c r="C4" s="67" t="n">
        <f aca="false">SUMIFS($B7:$B724,C7:C724,"oui")</f>
        <v>372</v>
      </c>
      <c r="D4" s="67" t="n">
        <f aca="false">SUMIFS($B7:$B724,D7:D724,"X")</f>
        <v>63</v>
      </c>
      <c r="E4" s="67" t="n">
        <f aca="false">SUMIFS($B7:$B724,E7:E724,"X")</f>
        <v>217</v>
      </c>
      <c r="F4" s="67" t="n">
        <f aca="false">SUMIFS($B7:$B724,F7:F724,"X")</f>
        <v>4</v>
      </c>
      <c r="G4" s="67" t="n">
        <f aca="false">SUMIFS($B7:$B724,G7:G724,"X")</f>
        <v>32</v>
      </c>
      <c r="H4" s="67" t="n">
        <f aca="false">SUMIFS($B7:$B724,H7:H724,"X")</f>
        <v>12</v>
      </c>
    </row>
    <row r="5" customFormat="false" ht="5.5" hidden="false" customHeight="true" outlineLevel="0" collapsed="false">
      <c r="A5" s="54"/>
      <c r="C5" s="69"/>
    </row>
    <row r="6" customFormat="false" ht="13" hidden="false" customHeight="false" outlineLevel="0" collapsed="false">
      <c r="A6" s="70" t="s">
        <v>219</v>
      </c>
      <c r="C6" s="69"/>
    </row>
    <row r="7" customFormat="false" ht="12.5" hidden="true" customHeight="false" outlineLevel="0" collapsed="false">
      <c r="A7" s="0" t="s">
        <v>220</v>
      </c>
      <c r="B7" s="65" t="n">
        <v>1</v>
      </c>
      <c r="C7" s="71" t="s">
        <v>221</v>
      </c>
      <c r="D7" s="0"/>
      <c r="E7" s="0"/>
      <c r="F7" s="0"/>
      <c r="G7" s="0"/>
      <c r="H7" s="0"/>
    </row>
    <row r="8" customFormat="false" ht="12.5" hidden="false" customHeight="false" outlineLevel="0" collapsed="false">
      <c r="A8" s="0" t="s">
        <v>222</v>
      </c>
      <c r="B8" s="65" t="n">
        <v>1</v>
      </c>
      <c r="C8" s="69"/>
      <c r="H8" s="72" t="s">
        <v>36</v>
      </c>
    </row>
    <row r="9" customFormat="false" ht="12.5" hidden="true" customHeight="false" outlineLevel="0" collapsed="false">
      <c r="A9" s="0" t="s">
        <v>223</v>
      </c>
      <c r="B9" s="65" t="n">
        <v>1</v>
      </c>
      <c r="C9" s="71" t="s">
        <v>221</v>
      </c>
      <c r="D9" s="0"/>
      <c r="E9" s="0"/>
      <c r="F9" s="0"/>
      <c r="G9" s="0"/>
      <c r="H9" s="0"/>
    </row>
    <row r="10" customFormat="false" ht="12.5" hidden="false" customHeight="false" outlineLevel="0" collapsed="false">
      <c r="A10" s="0" t="s">
        <v>224</v>
      </c>
      <c r="B10" s="65" t="n">
        <v>1</v>
      </c>
      <c r="C10" s="69"/>
      <c r="D10" s="72" t="s">
        <v>36</v>
      </c>
    </row>
    <row r="11" customFormat="false" ht="12.5" hidden="false" customHeight="false" outlineLevel="0" collapsed="false">
      <c r="A11" s="0" t="s">
        <v>225</v>
      </c>
      <c r="B11" s="65" t="n">
        <v>1</v>
      </c>
      <c r="C11" s="69"/>
      <c r="D11" s="72" t="s">
        <v>36</v>
      </c>
    </row>
    <row r="12" customFormat="false" ht="12.5" hidden="false" customHeight="false" outlineLevel="0" collapsed="false">
      <c r="A12" s="0" t="s">
        <v>226</v>
      </c>
      <c r="B12" s="65" t="n">
        <v>1</v>
      </c>
      <c r="C12" s="69"/>
      <c r="D12" s="72" t="s">
        <v>36</v>
      </c>
    </row>
    <row r="13" customFormat="false" ht="12.5" hidden="true" customHeight="false" outlineLevel="0" collapsed="false">
      <c r="A13" s="0" t="s">
        <v>227</v>
      </c>
      <c r="B13" s="65" t="n">
        <v>1</v>
      </c>
      <c r="C13" s="71" t="s">
        <v>221</v>
      </c>
      <c r="D13" s="0"/>
      <c r="E13" s="0"/>
      <c r="F13" s="0"/>
      <c r="G13" s="0"/>
      <c r="H13" s="0"/>
    </row>
    <row r="14" customFormat="false" ht="12.5" hidden="false" customHeight="false" outlineLevel="0" collapsed="false">
      <c r="A14" s="0" t="s">
        <v>228</v>
      </c>
      <c r="B14" s="65" t="n">
        <v>1</v>
      </c>
      <c r="C14" s="69"/>
      <c r="E14" s="72" t="s">
        <v>36</v>
      </c>
    </row>
    <row r="15" customFormat="false" ht="12.5" hidden="false" customHeight="false" outlineLevel="0" collapsed="false">
      <c r="A15" s="0" t="s">
        <v>229</v>
      </c>
      <c r="B15" s="65" t="n">
        <v>1</v>
      </c>
      <c r="C15" s="69"/>
      <c r="E15" s="72" t="s">
        <v>36</v>
      </c>
    </row>
    <row r="16" customFormat="false" ht="12.5" hidden="false" customHeight="false" outlineLevel="0" collapsed="false">
      <c r="A16" s="0" t="s">
        <v>230</v>
      </c>
      <c r="B16" s="65" t="n">
        <v>1</v>
      </c>
      <c r="C16" s="69"/>
      <c r="E16" s="72" t="s">
        <v>36</v>
      </c>
    </row>
    <row r="17" customFormat="false" ht="12.5" hidden="false" customHeight="false" outlineLevel="0" collapsed="false">
      <c r="A17" s="0" t="s">
        <v>231</v>
      </c>
      <c r="B17" s="65" t="n">
        <v>1</v>
      </c>
      <c r="C17" s="69"/>
      <c r="E17" s="72" t="s">
        <v>36</v>
      </c>
    </row>
    <row r="18" customFormat="false" ht="12.5" hidden="false" customHeight="false" outlineLevel="0" collapsed="false">
      <c r="A18" s="0" t="s">
        <v>232</v>
      </c>
      <c r="B18" s="65" t="n">
        <v>1</v>
      </c>
      <c r="C18" s="69"/>
      <c r="E18" s="72" t="s">
        <v>36</v>
      </c>
    </row>
    <row r="19" customFormat="false" ht="12.5" hidden="false" customHeight="false" outlineLevel="0" collapsed="false">
      <c r="A19" s="0" t="s">
        <v>233</v>
      </c>
      <c r="B19" s="65" t="n">
        <v>1</v>
      </c>
      <c r="C19" s="69"/>
      <c r="E19" s="72" t="s">
        <v>36</v>
      </c>
    </row>
    <row r="20" customFormat="false" ht="12.5" hidden="false" customHeight="false" outlineLevel="0" collapsed="false">
      <c r="A20" s="0" t="s">
        <v>234</v>
      </c>
      <c r="B20" s="65" t="n">
        <v>1</v>
      </c>
      <c r="C20" s="69"/>
      <c r="E20" s="72" t="s">
        <v>36</v>
      </c>
    </row>
    <row r="21" customFormat="false" ht="12.5" hidden="false" customHeight="false" outlineLevel="0" collapsed="false">
      <c r="A21" s="0" t="s">
        <v>235</v>
      </c>
      <c r="B21" s="65" t="n">
        <v>1</v>
      </c>
      <c r="C21" s="69"/>
      <c r="E21" s="72" t="s">
        <v>36</v>
      </c>
    </row>
    <row r="22" customFormat="false" ht="12.5" hidden="false" customHeight="false" outlineLevel="0" collapsed="false">
      <c r="A22" s="0" t="s">
        <v>236</v>
      </c>
      <c r="B22" s="65" t="n">
        <v>1</v>
      </c>
      <c r="C22" s="69"/>
      <c r="E22" s="72" t="s">
        <v>36</v>
      </c>
    </row>
    <row r="23" customFormat="false" ht="12.5" hidden="false" customHeight="false" outlineLevel="0" collapsed="false">
      <c r="A23" s="0" t="s">
        <v>237</v>
      </c>
      <c r="B23" s="65" t="n">
        <v>1</v>
      </c>
      <c r="C23" s="69"/>
      <c r="E23" s="72" t="s">
        <v>36</v>
      </c>
    </row>
    <row r="24" customFormat="false" ht="12.5" hidden="false" customHeight="false" outlineLevel="0" collapsed="false">
      <c r="A24" s="0" t="s">
        <v>238</v>
      </c>
      <c r="B24" s="65" t="n">
        <v>1</v>
      </c>
      <c r="C24" s="69"/>
      <c r="E24" s="72" t="s">
        <v>36</v>
      </c>
    </row>
    <row r="25" customFormat="false" ht="12.5" hidden="false" customHeight="false" outlineLevel="0" collapsed="false">
      <c r="A25" s="0" t="s">
        <v>239</v>
      </c>
      <c r="B25" s="65" t="n">
        <v>1</v>
      </c>
      <c r="C25" s="69"/>
      <c r="E25" s="72" t="s">
        <v>36</v>
      </c>
    </row>
    <row r="26" customFormat="false" ht="12.5" hidden="false" customHeight="false" outlineLevel="0" collapsed="false">
      <c r="A26" s="0" t="s">
        <v>240</v>
      </c>
      <c r="B26" s="65" t="n">
        <v>1</v>
      </c>
      <c r="C26" s="69"/>
      <c r="E26" s="72" t="s">
        <v>36</v>
      </c>
    </row>
    <row r="27" customFormat="false" ht="12.5" hidden="false" customHeight="false" outlineLevel="0" collapsed="false">
      <c r="A27" s="0" t="s">
        <v>241</v>
      </c>
      <c r="B27" s="65" t="n">
        <v>1</v>
      </c>
      <c r="C27" s="69"/>
      <c r="E27" s="72" t="s">
        <v>36</v>
      </c>
    </row>
    <row r="28" customFormat="false" ht="12.5" hidden="false" customHeight="false" outlineLevel="0" collapsed="false">
      <c r="A28" s="0" t="s">
        <v>242</v>
      </c>
      <c r="B28" s="65" t="n">
        <v>1</v>
      </c>
      <c r="C28" s="69"/>
      <c r="E28" s="72" t="s">
        <v>36</v>
      </c>
    </row>
    <row r="29" customFormat="false" ht="12.5" hidden="false" customHeight="false" outlineLevel="0" collapsed="false">
      <c r="A29" s="0" t="s">
        <v>243</v>
      </c>
      <c r="B29" s="65" t="n">
        <v>1</v>
      </c>
      <c r="C29" s="69"/>
      <c r="E29" s="72" t="s">
        <v>36</v>
      </c>
    </row>
    <row r="30" customFormat="false" ht="12.5" hidden="false" customHeight="false" outlineLevel="0" collapsed="false">
      <c r="A30" s="0" t="s">
        <v>244</v>
      </c>
      <c r="B30" s="65" t="n">
        <v>1</v>
      </c>
      <c r="C30" s="69"/>
      <c r="E30" s="72" t="s">
        <v>36</v>
      </c>
    </row>
    <row r="31" customFormat="false" ht="12.5" hidden="false" customHeight="false" outlineLevel="0" collapsed="false">
      <c r="A31" s="0" t="s">
        <v>245</v>
      </c>
      <c r="B31" s="65" t="n">
        <v>1</v>
      </c>
      <c r="C31" s="69"/>
      <c r="E31" s="72" t="s">
        <v>36</v>
      </c>
    </row>
    <row r="32" customFormat="false" ht="12.5" hidden="false" customHeight="false" outlineLevel="0" collapsed="false">
      <c r="A32" s="0" t="s">
        <v>246</v>
      </c>
      <c r="B32" s="65" t="n">
        <v>1</v>
      </c>
      <c r="C32" s="69"/>
      <c r="E32" s="72" t="s">
        <v>36</v>
      </c>
    </row>
    <row r="33" customFormat="false" ht="12.5" hidden="false" customHeight="false" outlineLevel="0" collapsed="false">
      <c r="A33" s="0" t="s">
        <v>247</v>
      </c>
      <c r="B33" s="65" t="n">
        <v>1</v>
      </c>
      <c r="C33" s="69"/>
      <c r="E33" s="72" t="s">
        <v>36</v>
      </c>
    </row>
    <row r="34" customFormat="false" ht="12.5" hidden="false" customHeight="false" outlineLevel="0" collapsed="false">
      <c r="A34" s="0" t="s">
        <v>248</v>
      </c>
      <c r="B34" s="65" t="n">
        <v>1</v>
      </c>
      <c r="C34" s="69"/>
      <c r="E34" s="72" t="s">
        <v>36</v>
      </c>
    </row>
    <row r="35" customFormat="false" ht="12.5" hidden="false" customHeight="false" outlineLevel="0" collapsed="false">
      <c r="A35" s="0" t="s">
        <v>249</v>
      </c>
      <c r="B35" s="65" t="n">
        <v>1</v>
      </c>
      <c r="C35" s="69"/>
      <c r="E35" s="72" t="s">
        <v>36</v>
      </c>
    </row>
    <row r="36" customFormat="false" ht="12.5" hidden="false" customHeight="false" outlineLevel="0" collapsed="false">
      <c r="A36" s="0" t="s">
        <v>250</v>
      </c>
      <c r="B36" s="65" t="n">
        <v>1</v>
      </c>
      <c r="C36" s="69"/>
      <c r="E36" s="72" t="s">
        <v>36</v>
      </c>
    </row>
    <row r="37" customFormat="false" ht="12.5" hidden="false" customHeight="false" outlineLevel="0" collapsed="false">
      <c r="A37" s="0" t="s">
        <v>251</v>
      </c>
      <c r="B37" s="65" t="n">
        <v>1</v>
      </c>
      <c r="C37" s="69"/>
      <c r="E37" s="72" t="s">
        <v>36</v>
      </c>
    </row>
    <row r="38" customFormat="false" ht="12.5" hidden="false" customHeight="false" outlineLevel="0" collapsed="false">
      <c r="A38" s="0" t="s">
        <v>252</v>
      </c>
      <c r="B38" s="65" t="n">
        <v>1</v>
      </c>
      <c r="C38" s="69"/>
      <c r="E38" s="72" t="s">
        <v>36</v>
      </c>
    </row>
    <row r="39" customFormat="false" ht="12.5" hidden="false" customHeight="false" outlineLevel="0" collapsed="false">
      <c r="A39" s="0" t="s">
        <v>253</v>
      </c>
      <c r="B39" s="65" t="n">
        <v>1</v>
      </c>
      <c r="C39" s="69"/>
      <c r="E39" s="72" t="s">
        <v>36</v>
      </c>
    </row>
    <row r="40" customFormat="false" ht="12.5" hidden="false" customHeight="false" outlineLevel="0" collapsed="false">
      <c r="A40" s="0" t="s">
        <v>254</v>
      </c>
      <c r="B40" s="65" t="n">
        <v>1</v>
      </c>
      <c r="C40" s="69"/>
      <c r="E40" s="72" t="s">
        <v>36</v>
      </c>
    </row>
    <row r="41" customFormat="false" ht="12.5" hidden="false" customHeight="false" outlineLevel="0" collapsed="false">
      <c r="A41" s="0" t="s">
        <v>255</v>
      </c>
      <c r="B41" s="65" t="n">
        <v>1</v>
      </c>
      <c r="C41" s="69"/>
      <c r="E41" s="72" t="s">
        <v>36</v>
      </c>
    </row>
    <row r="42" customFormat="false" ht="12.5" hidden="false" customHeight="false" outlineLevel="0" collapsed="false">
      <c r="A42" s="0" t="s">
        <v>256</v>
      </c>
      <c r="B42" s="65" t="n">
        <v>1</v>
      </c>
      <c r="C42" s="69"/>
      <c r="E42" s="72" t="s">
        <v>36</v>
      </c>
    </row>
    <row r="43" customFormat="false" ht="12.5" hidden="false" customHeight="false" outlineLevel="0" collapsed="false">
      <c r="A43" s="0" t="s">
        <v>257</v>
      </c>
      <c r="B43" s="65" t="n">
        <v>1</v>
      </c>
      <c r="C43" s="69"/>
      <c r="E43" s="72" t="s">
        <v>36</v>
      </c>
    </row>
    <row r="44" customFormat="false" ht="12.5" hidden="false" customHeight="false" outlineLevel="0" collapsed="false">
      <c r="A44" s="0" t="s">
        <v>258</v>
      </c>
      <c r="B44" s="65" t="n">
        <v>1</v>
      </c>
      <c r="C44" s="69"/>
      <c r="E44" s="72" t="s">
        <v>36</v>
      </c>
    </row>
    <row r="45" customFormat="false" ht="12.5" hidden="false" customHeight="false" outlineLevel="0" collapsed="false">
      <c r="A45" s="0" t="s">
        <v>259</v>
      </c>
      <c r="B45" s="65" t="n">
        <v>1</v>
      </c>
      <c r="C45" s="69"/>
      <c r="E45" s="72" t="s">
        <v>36</v>
      </c>
    </row>
    <row r="46" customFormat="false" ht="12.5" hidden="false" customHeight="false" outlineLevel="0" collapsed="false">
      <c r="A46" s="0" t="s">
        <v>260</v>
      </c>
      <c r="B46" s="65" t="n">
        <v>1</v>
      </c>
      <c r="C46" s="69"/>
      <c r="E46" s="72" t="s">
        <v>36</v>
      </c>
    </row>
    <row r="47" customFormat="false" ht="12.5" hidden="false" customHeight="false" outlineLevel="0" collapsed="false">
      <c r="A47" s="0" t="s">
        <v>261</v>
      </c>
      <c r="B47" s="65" t="n">
        <v>1</v>
      </c>
      <c r="C47" s="69"/>
      <c r="E47" s="72" t="s">
        <v>36</v>
      </c>
    </row>
    <row r="48" customFormat="false" ht="12.5" hidden="false" customHeight="false" outlineLevel="0" collapsed="false">
      <c r="A48" s="0" t="s">
        <v>262</v>
      </c>
      <c r="B48" s="65" t="n">
        <v>1</v>
      </c>
      <c r="C48" s="69"/>
      <c r="E48" s="72" t="s">
        <v>36</v>
      </c>
    </row>
    <row r="49" customFormat="false" ht="12.5" hidden="false" customHeight="false" outlineLevel="0" collapsed="false">
      <c r="A49" s="0" t="s">
        <v>263</v>
      </c>
      <c r="B49" s="65" t="n">
        <v>1</v>
      </c>
      <c r="C49" s="69"/>
      <c r="E49" s="72" t="s">
        <v>36</v>
      </c>
    </row>
    <row r="50" customFormat="false" ht="12.5" hidden="false" customHeight="false" outlineLevel="0" collapsed="false">
      <c r="A50" s="0" t="s">
        <v>264</v>
      </c>
      <c r="B50" s="65" t="n">
        <v>1</v>
      </c>
      <c r="C50" s="69"/>
      <c r="E50" s="72" t="s">
        <v>36</v>
      </c>
    </row>
    <row r="51" customFormat="false" ht="12.5" hidden="false" customHeight="false" outlineLevel="0" collapsed="false">
      <c r="A51" s="0" t="s">
        <v>265</v>
      </c>
      <c r="B51" s="65" t="n">
        <v>1</v>
      </c>
      <c r="C51" s="69"/>
      <c r="E51" s="72" t="s">
        <v>36</v>
      </c>
    </row>
    <row r="52" customFormat="false" ht="12.5" hidden="false" customHeight="false" outlineLevel="0" collapsed="false">
      <c r="A52" s="0" t="s">
        <v>266</v>
      </c>
      <c r="B52" s="65" t="n">
        <v>1</v>
      </c>
      <c r="C52" s="69"/>
      <c r="E52" s="72" t="s">
        <v>36</v>
      </c>
    </row>
    <row r="53" customFormat="false" ht="12.5" hidden="false" customHeight="false" outlineLevel="0" collapsed="false">
      <c r="A53" s="0" t="s">
        <v>267</v>
      </c>
      <c r="B53" s="65" t="n">
        <v>1</v>
      </c>
      <c r="C53" s="69"/>
      <c r="E53" s="72" t="s">
        <v>36</v>
      </c>
    </row>
    <row r="54" customFormat="false" ht="12.5" hidden="false" customHeight="false" outlineLevel="0" collapsed="false">
      <c r="A54" s="0" t="s">
        <v>268</v>
      </c>
      <c r="B54" s="65" t="n">
        <v>1</v>
      </c>
      <c r="C54" s="69"/>
      <c r="E54" s="72" t="s">
        <v>36</v>
      </c>
    </row>
    <row r="55" customFormat="false" ht="12.5" hidden="false" customHeight="false" outlineLevel="0" collapsed="false">
      <c r="A55" s="0" t="s">
        <v>269</v>
      </c>
      <c r="B55" s="65" t="n">
        <v>1</v>
      </c>
      <c r="C55" s="69"/>
      <c r="E55" s="72" t="s">
        <v>36</v>
      </c>
    </row>
    <row r="56" customFormat="false" ht="12.5" hidden="false" customHeight="false" outlineLevel="0" collapsed="false">
      <c r="A56" s="0" t="s">
        <v>270</v>
      </c>
      <c r="B56" s="65" t="n">
        <v>1</v>
      </c>
      <c r="C56" s="69"/>
      <c r="E56" s="72" t="s">
        <v>36</v>
      </c>
    </row>
    <row r="57" customFormat="false" ht="12.5" hidden="false" customHeight="false" outlineLevel="0" collapsed="false">
      <c r="A57" s="0" t="s">
        <v>271</v>
      </c>
      <c r="B57" s="65" t="n">
        <v>1</v>
      </c>
      <c r="C57" s="69"/>
      <c r="E57" s="72" t="s">
        <v>36</v>
      </c>
    </row>
    <row r="58" customFormat="false" ht="12.5" hidden="false" customHeight="false" outlineLevel="0" collapsed="false">
      <c r="A58" s="0" t="s">
        <v>272</v>
      </c>
      <c r="B58" s="65" t="n">
        <v>1</v>
      </c>
      <c r="C58" s="69"/>
      <c r="E58" s="72" t="s">
        <v>36</v>
      </c>
    </row>
    <row r="59" customFormat="false" ht="12.5" hidden="false" customHeight="false" outlineLevel="0" collapsed="false">
      <c r="A59" s="0" t="s">
        <v>273</v>
      </c>
      <c r="B59" s="65" t="n">
        <v>1</v>
      </c>
      <c r="C59" s="69"/>
      <c r="E59" s="72" t="s">
        <v>36</v>
      </c>
    </row>
    <row r="60" customFormat="false" ht="12.5" hidden="false" customHeight="false" outlineLevel="0" collapsed="false">
      <c r="A60" s="0" t="s">
        <v>274</v>
      </c>
      <c r="B60" s="65" t="n">
        <v>1</v>
      </c>
      <c r="C60" s="69"/>
      <c r="E60" s="72" t="s">
        <v>36</v>
      </c>
    </row>
    <row r="61" customFormat="false" ht="12.5" hidden="false" customHeight="false" outlineLevel="0" collapsed="false">
      <c r="A61" s="0" t="s">
        <v>275</v>
      </c>
      <c r="B61" s="65" t="n">
        <v>1</v>
      </c>
      <c r="C61" s="69"/>
      <c r="E61" s="72" t="s">
        <v>36</v>
      </c>
    </row>
    <row r="62" customFormat="false" ht="12.5" hidden="false" customHeight="false" outlineLevel="0" collapsed="false">
      <c r="A62" s="0" t="s">
        <v>276</v>
      </c>
      <c r="B62" s="65" t="n">
        <v>1</v>
      </c>
      <c r="C62" s="69"/>
      <c r="E62" s="72" t="s">
        <v>36</v>
      </c>
    </row>
    <row r="63" customFormat="false" ht="12.5" hidden="false" customHeight="false" outlineLevel="0" collapsed="false">
      <c r="A63" s="0" t="s">
        <v>277</v>
      </c>
      <c r="B63" s="65" t="n">
        <v>1</v>
      </c>
      <c r="C63" s="69"/>
      <c r="E63" s="72" t="s">
        <v>36</v>
      </c>
    </row>
    <row r="64" customFormat="false" ht="12.5" hidden="false" customHeight="false" outlineLevel="0" collapsed="false">
      <c r="A64" s="0" t="s">
        <v>278</v>
      </c>
      <c r="B64" s="65" t="n">
        <v>1</v>
      </c>
      <c r="C64" s="69"/>
      <c r="E64" s="72" t="s">
        <v>36</v>
      </c>
    </row>
    <row r="65" customFormat="false" ht="12.5" hidden="false" customHeight="false" outlineLevel="0" collapsed="false">
      <c r="A65" s="0" t="s">
        <v>279</v>
      </c>
      <c r="B65" s="65" t="n">
        <v>1</v>
      </c>
      <c r="C65" s="69"/>
      <c r="E65" s="72" t="s">
        <v>36</v>
      </c>
    </row>
    <row r="66" customFormat="false" ht="12.5" hidden="false" customHeight="false" outlineLevel="0" collapsed="false">
      <c r="A66" s="0" t="s">
        <v>280</v>
      </c>
      <c r="B66" s="65" t="n">
        <v>1</v>
      </c>
      <c r="C66" s="69"/>
      <c r="E66" s="72" t="s">
        <v>36</v>
      </c>
    </row>
    <row r="67" customFormat="false" ht="12.5" hidden="false" customHeight="false" outlineLevel="0" collapsed="false">
      <c r="A67" s="0" t="s">
        <v>281</v>
      </c>
      <c r="B67" s="65" t="n">
        <v>1</v>
      </c>
      <c r="C67" s="69"/>
      <c r="E67" s="72" t="s">
        <v>36</v>
      </c>
    </row>
    <row r="68" customFormat="false" ht="12.5" hidden="false" customHeight="false" outlineLevel="0" collapsed="false">
      <c r="A68" s="64" t="s">
        <v>282</v>
      </c>
      <c r="B68" s="65" t="n">
        <v>1</v>
      </c>
      <c r="C68" s="69"/>
      <c r="E68" s="72" t="s">
        <v>36</v>
      </c>
    </row>
    <row r="69" customFormat="false" ht="12.5" hidden="false" customHeight="false" outlineLevel="0" collapsed="false">
      <c r="A69" s="0" t="s">
        <v>283</v>
      </c>
      <c r="B69" s="65" t="n">
        <v>1</v>
      </c>
      <c r="C69" s="69"/>
      <c r="E69" s="72" t="s">
        <v>36</v>
      </c>
    </row>
    <row r="70" customFormat="false" ht="12.5" hidden="false" customHeight="false" outlineLevel="0" collapsed="false">
      <c r="A70" s="0" t="s">
        <v>284</v>
      </c>
      <c r="B70" s="65" t="n">
        <v>1</v>
      </c>
      <c r="C70" s="69"/>
      <c r="E70" s="72" t="s">
        <v>36</v>
      </c>
    </row>
    <row r="71" customFormat="false" ht="12.5" hidden="false" customHeight="false" outlineLevel="0" collapsed="false">
      <c r="A71" s="0" t="s">
        <v>285</v>
      </c>
      <c r="B71" s="65" t="n">
        <v>1</v>
      </c>
      <c r="C71" s="69"/>
      <c r="E71" s="72" t="s">
        <v>36</v>
      </c>
    </row>
    <row r="72" customFormat="false" ht="12.5" hidden="false" customHeight="false" outlineLevel="0" collapsed="false">
      <c r="A72" s="0" t="s">
        <v>286</v>
      </c>
      <c r="B72" s="65" t="n">
        <v>1</v>
      </c>
      <c r="C72" s="69"/>
      <c r="E72" s="72" t="s">
        <v>36</v>
      </c>
    </row>
    <row r="73" customFormat="false" ht="12.5" hidden="false" customHeight="false" outlineLevel="0" collapsed="false">
      <c r="A73" s="0" t="s">
        <v>287</v>
      </c>
      <c r="B73" s="65" t="n">
        <v>1</v>
      </c>
      <c r="C73" s="69"/>
      <c r="E73" s="72" t="s">
        <v>36</v>
      </c>
    </row>
    <row r="74" customFormat="false" ht="12.5" hidden="false" customHeight="false" outlineLevel="0" collapsed="false">
      <c r="A74" s="0" t="s">
        <v>288</v>
      </c>
      <c r="B74" s="65" t="n">
        <v>1</v>
      </c>
      <c r="C74" s="69"/>
      <c r="E74" s="72" t="s">
        <v>36</v>
      </c>
    </row>
    <row r="75" customFormat="false" ht="12.5" hidden="false" customHeight="false" outlineLevel="0" collapsed="false">
      <c r="A75" s="0" t="s">
        <v>289</v>
      </c>
      <c r="B75" s="65" t="n">
        <v>1</v>
      </c>
      <c r="C75" s="69"/>
      <c r="E75" s="72" t="s">
        <v>36</v>
      </c>
    </row>
    <row r="76" customFormat="false" ht="12.5" hidden="false" customHeight="false" outlineLevel="0" collapsed="false">
      <c r="A76" s="0" t="s">
        <v>290</v>
      </c>
      <c r="B76" s="65" t="n">
        <v>1</v>
      </c>
      <c r="C76" s="69"/>
      <c r="E76" s="72" t="s">
        <v>36</v>
      </c>
    </row>
    <row r="77" customFormat="false" ht="12.5" hidden="false" customHeight="false" outlineLevel="0" collapsed="false">
      <c r="A77" s="0" t="s">
        <v>291</v>
      </c>
      <c r="B77" s="65" t="n">
        <v>1</v>
      </c>
      <c r="C77" s="69"/>
      <c r="E77" s="72" t="s">
        <v>36</v>
      </c>
    </row>
    <row r="78" customFormat="false" ht="12.5" hidden="false" customHeight="false" outlineLevel="0" collapsed="false">
      <c r="A78" s="0" t="s">
        <v>292</v>
      </c>
      <c r="B78" s="65" t="n">
        <v>1</v>
      </c>
      <c r="C78" s="69"/>
      <c r="E78" s="72" t="s">
        <v>36</v>
      </c>
    </row>
    <row r="79" customFormat="false" ht="12.5" hidden="false" customHeight="false" outlineLevel="0" collapsed="false">
      <c r="A79" s="0" t="s">
        <v>293</v>
      </c>
      <c r="B79" s="65" t="n">
        <v>1</v>
      </c>
      <c r="C79" s="69"/>
      <c r="E79" s="72" t="s">
        <v>36</v>
      </c>
    </row>
    <row r="80" customFormat="false" ht="12.5" hidden="false" customHeight="false" outlineLevel="0" collapsed="false">
      <c r="A80" s="0" t="s">
        <v>294</v>
      </c>
      <c r="B80" s="65" t="n">
        <v>1</v>
      </c>
      <c r="C80" s="69"/>
      <c r="E80" s="72" t="s">
        <v>36</v>
      </c>
    </row>
    <row r="81" customFormat="false" ht="12.5" hidden="false" customHeight="false" outlineLevel="0" collapsed="false">
      <c r="A81" s="0" t="s">
        <v>295</v>
      </c>
      <c r="B81" s="65" t="n">
        <v>1</v>
      </c>
      <c r="C81" s="69"/>
      <c r="E81" s="72" t="s">
        <v>36</v>
      </c>
    </row>
    <row r="82" customFormat="false" ht="12.5" hidden="false" customHeight="false" outlineLevel="0" collapsed="false">
      <c r="A82" s="0" t="s">
        <v>296</v>
      </c>
      <c r="B82" s="65" t="n">
        <v>1</v>
      </c>
      <c r="C82" s="69"/>
      <c r="E82" s="72" t="s">
        <v>36</v>
      </c>
    </row>
    <row r="83" customFormat="false" ht="12.5" hidden="false" customHeight="false" outlineLevel="0" collapsed="false">
      <c r="A83" s="0" t="s">
        <v>297</v>
      </c>
      <c r="B83" s="65" t="n">
        <v>1</v>
      </c>
      <c r="C83" s="69"/>
      <c r="E83" s="72" t="s">
        <v>36</v>
      </c>
    </row>
    <row r="84" customFormat="false" ht="12.5" hidden="false" customHeight="false" outlineLevel="0" collapsed="false">
      <c r="A84" s="0" t="s">
        <v>298</v>
      </c>
      <c r="B84" s="65" t="n">
        <v>1</v>
      </c>
      <c r="C84" s="69"/>
      <c r="E84" s="72" t="s">
        <v>36</v>
      </c>
    </row>
    <row r="85" customFormat="false" ht="12.5" hidden="false" customHeight="false" outlineLevel="0" collapsed="false">
      <c r="A85" s="0" t="s">
        <v>299</v>
      </c>
      <c r="B85" s="65" t="n">
        <v>1</v>
      </c>
      <c r="C85" s="69"/>
      <c r="E85" s="72" t="s">
        <v>36</v>
      </c>
    </row>
    <row r="86" customFormat="false" ht="12.5" hidden="false" customHeight="false" outlineLevel="0" collapsed="false">
      <c r="A86" s="0" t="s">
        <v>300</v>
      </c>
      <c r="B86" s="65" t="n">
        <v>1</v>
      </c>
      <c r="C86" s="69"/>
      <c r="E86" s="72" t="s">
        <v>36</v>
      </c>
    </row>
    <row r="87" customFormat="false" ht="12.5" hidden="false" customHeight="false" outlineLevel="0" collapsed="false">
      <c r="A87" s="0" t="s">
        <v>301</v>
      </c>
      <c r="B87" s="65" t="n">
        <v>1</v>
      </c>
      <c r="C87" s="69"/>
      <c r="E87" s="72" t="s">
        <v>36</v>
      </c>
    </row>
    <row r="88" customFormat="false" ht="12.5" hidden="false" customHeight="false" outlineLevel="0" collapsed="false">
      <c r="A88" s="0" t="s">
        <v>302</v>
      </c>
      <c r="B88" s="65" t="n">
        <v>1</v>
      </c>
      <c r="C88" s="69"/>
      <c r="E88" s="72" t="s">
        <v>36</v>
      </c>
    </row>
    <row r="89" customFormat="false" ht="12.5" hidden="false" customHeight="false" outlineLevel="0" collapsed="false">
      <c r="A89" s="0" t="s">
        <v>303</v>
      </c>
      <c r="B89" s="65" t="n">
        <v>1</v>
      </c>
      <c r="C89" s="69"/>
      <c r="E89" s="72" t="s">
        <v>36</v>
      </c>
    </row>
    <row r="90" customFormat="false" ht="12.5" hidden="false" customHeight="false" outlineLevel="0" collapsed="false">
      <c r="A90" s="0" t="s">
        <v>304</v>
      </c>
      <c r="B90" s="65" t="n">
        <v>1</v>
      </c>
      <c r="C90" s="69"/>
      <c r="E90" s="72" t="s">
        <v>36</v>
      </c>
    </row>
    <row r="91" customFormat="false" ht="12.5" hidden="false" customHeight="false" outlineLevel="0" collapsed="false">
      <c r="A91" s="0" t="s">
        <v>305</v>
      </c>
      <c r="B91" s="65" t="n">
        <v>1</v>
      </c>
      <c r="C91" s="69"/>
      <c r="E91" s="72" t="s">
        <v>36</v>
      </c>
    </row>
    <row r="92" customFormat="false" ht="12.5" hidden="false" customHeight="false" outlineLevel="0" collapsed="false">
      <c r="A92" s="0" t="s">
        <v>306</v>
      </c>
      <c r="B92" s="65" t="n">
        <v>1</v>
      </c>
      <c r="C92" s="69"/>
      <c r="E92" s="72" t="s">
        <v>36</v>
      </c>
    </row>
    <row r="93" customFormat="false" ht="12.5" hidden="false" customHeight="false" outlineLevel="0" collapsed="false">
      <c r="A93" s="0" t="s">
        <v>307</v>
      </c>
      <c r="B93" s="65" t="n">
        <v>1</v>
      </c>
      <c r="C93" s="69"/>
      <c r="E93" s="72" t="s">
        <v>36</v>
      </c>
    </row>
    <row r="94" customFormat="false" ht="12.5" hidden="false" customHeight="false" outlineLevel="0" collapsed="false">
      <c r="A94" s="0" t="s">
        <v>308</v>
      </c>
      <c r="B94" s="65" t="n">
        <v>1</v>
      </c>
      <c r="C94" s="69"/>
      <c r="E94" s="72" t="s">
        <v>36</v>
      </c>
    </row>
    <row r="95" customFormat="false" ht="12.5" hidden="false" customHeight="false" outlineLevel="0" collapsed="false">
      <c r="A95" s="0" t="s">
        <v>309</v>
      </c>
      <c r="B95" s="65" t="n">
        <v>1</v>
      </c>
      <c r="C95" s="69"/>
      <c r="E95" s="72" t="s">
        <v>36</v>
      </c>
    </row>
    <row r="96" customFormat="false" ht="12.5" hidden="false" customHeight="false" outlineLevel="0" collapsed="false">
      <c r="A96" s="0" t="s">
        <v>310</v>
      </c>
      <c r="B96" s="65" t="n">
        <v>1</v>
      </c>
      <c r="C96" s="69"/>
      <c r="E96" s="72" t="s">
        <v>36</v>
      </c>
    </row>
    <row r="97" customFormat="false" ht="12.5" hidden="false" customHeight="false" outlineLevel="0" collapsed="false">
      <c r="A97" s="0" t="s">
        <v>311</v>
      </c>
      <c r="B97" s="65" t="n">
        <v>1</v>
      </c>
      <c r="C97" s="69"/>
      <c r="E97" s="72" t="s">
        <v>36</v>
      </c>
    </row>
    <row r="98" customFormat="false" ht="12.5" hidden="false" customHeight="false" outlineLevel="0" collapsed="false">
      <c r="A98" s="0" t="s">
        <v>312</v>
      </c>
      <c r="B98" s="65" t="n">
        <v>1</v>
      </c>
      <c r="C98" s="69"/>
      <c r="E98" s="72" t="s">
        <v>36</v>
      </c>
    </row>
    <row r="99" customFormat="false" ht="12.5" hidden="false" customHeight="false" outlineLevel="0" collapsed="false">
      <c r="A99" s="0" t="s">
        <v>313</v>
      </c>
      <c r="B99" s="65" t="n">
        <v>1</v>
      </c>
      <c r="C99" s="69"/>
      <c r="E99" s="72" t="s">
        <v>36</v>
      </c>
    </row>
    <row r="100" customFormat="false" ht="12.5" hidden="false" customHeight="false" outlineLevel="0" collapsed="false">
      <c r="A100" s="0" t="s">
        <v>314</v>
      </c>
      <c r="B100" s="65" t="n">
        <v>1</v>
      </c>
      <c r="C100" s="69"/>
      <c r="H100" s="72" t="s">
        <v>36</v>
      </c>
    </row>
    <row r="101" customFormat="false" ht="12.5" hidden="true" customHeight="false" outlineLevel="0" collapsed="false">
      <c r="A101" s="0" t="s">
        <v>315</v>
      </c>
      <c r="B101" s="65" t="n">
        <v>1</v>
      </c>
      <c r="C101" s="71" t="s">
        <v>221</v>
      </c>
    </row>
    <row r="102" customFormat="false" ht="12.5" hidden="true" customHeight="false" outlineLevel="0" collapsed="false">
      <c r="A102" s="0" t="s">
        <v>316</v>
      </c>
      <c r="B102" s="65" t="n">
        <v>1</v>
      </c>
      <c r="C102" s="71" t="s">
        <v>221</v>
      </c>
      <c r="D102" s="0"/>
      <c r="E102" s="0"/>
      <c r="F102" s="0"/>
      <c r="G102" s="0"/>
      <c r="H102" s="0"/>
    </row>
    <row r="103" customFormat="false" ht="12.5" hidden="false" customHeight="false" outlineLevel="0" collapsed="false">
      <c r="A103" s="64" t="s">
        <v>317</v>
      </c>
      <c r="B103" s="65" t="n">
        <v>1</v>
      </c>
      <c r="C103" s="69"/>
      <c r="E103" s="72" t="s">
        <v>36</v>
      </c>
    </row>
    <row r="104" customFormat="false" ht="12.5" hidden="true" customHeight="false" outlineLevel="0" collapsed="false">
      <c r="A104" s="0" t="s">
        <v>318</v>
      </c>
      <c r="B104" s="65" t="n">
        <v>1</v>
      </c>
      <c r="C104" s="71" t="s">
        <v>221</v>
      </c>
      <c r="D104" s="0"/>
      <c r="E104" s="0"/>
      <c r="F104" s="0"/>
      <c r="G104" s="0"/>
      <c r="H104" s="0"/>
    </row>
    <row r="105" customFormat="false" ht="12.5" hidden="true" customHeight="false" outlineLevel="0" collapsed="false">
      <c r="A105" s="0" t="s">
        <v>319</v>
      </c>
      <c r="B105" s="65" t="n">
        <v>1</v>
      </c>
      <c r="C105" s="71" t="s">
        <v>221</v>
      </c>
      <c r="D105" s="0"/>
      <c r="E105" s="0"/>
      <c r="F105" s="0"/>
      <c r="G105" s="0"/>
      <c r="H105" s="0"/>
    </row>
    <row r="106" customFormat="false" ht="12.5" hidden="false" customHeight="false" outlineLevel="0" collapsed="false">
      <c r="A106" s="0" t="s">
        <v>320</v>
      </c>
      <c r="B106" s="65" t="n">
        <v>1</v>
      </c>
      <c r="C106" s="69"/>
      <c r="E106" s="72" t="s">
        <v>36</v>
      </c>
    </row>
    <row r="107" customFormat="false" ht="12.5" hidden="false" customHeight="false" outlineLevel="0" collapsed="false">
      <c r="A107" s="0" t="s">
        <v>321</v>
      </c>
      <c r="B107" s="65" t="n">
        <v>1</v>
      </c>
      <c r="C107" s="69"/>
      <c r="G107" s="72" t="s">
        <v>36</v>
      </c>
    </row>
    <row r="108" customFormat="false" ht="12.5" hidden="false" customHeight="false" outlineLevel="0" collapsed="false">
      <c r="A108" s="0" t="s">
        <v>322</v>
      </c>
      <c r="B108" s="65" t="n">
        <v>1</v>
      </c>
      <c r="C108" s="69"/>
      <c r="H108" s="72" t="s">
        <v>36</v>
      </c>
    </row>
    <row r="109" customFormat="false" ht="12.5" hidden="false" customHeight="false" outlineLevel="0" collapsed="false">
      <c r="A109" s="0" t="s">
        <v>323</v>
      </c>
      <c r="B109" s="65" t="n">
        <v>1</v>
      </c>
      <c r="C109" s="69"/>
      <c r="H109" s="72" t="s">
        <v>36</v>
      </c>
    </row>
    <row r="110" customFormat="false" ht="12.5" hidden="false" customHeight="false" outlineLevel="0" collapsed="false">
      <c r="A110" s="0" t="s">
        <v>324</v>
      </c>
      <c r="B110" s="65" t="n">
        <v>1</v>
      </c>
      <c r="C110" s="69"/>
      <c r="E110" s="72" t="s">
        <v>36</v>
      </c>
    </row>
    <row r="111" customFormat="false" ht="12.5" hidden="true" customHeight="false" outlineLevel="0" collapsed="false">
      <c r="A111" s="0" t="s">
        <v>325</v>
      </c>
      <c r="B111" s="65" t="n">
        <v>1</v>
      </c>
      <c r="C111" s="71" t="s">
        <v>221</v>
      </c>
      <c r="D111" s="0"/>
      <c r="E111" s="0"/>
      <c r="F111" s="0"/>
      <c r="G111" s="0"/>
      <c r="H111" s="0"/>
    </row>
    <row r="112" customFormat="false" ht="12.5" hidden="true" customHeight="false" outlineLevel="0" collapsed="false">
      <c r="A112" s="0" t="s">
        <v>326</v>
      </c>
      <c r="B112" s="65" t="n">
        <v>1</v>
      </c>
      <c r="C112" s="71" t="s">
        <v>221</v>
      </c>
      <c r="D112" s="0"/>
      <c r="E112" s="0"/>
      <c r="F112" s="0"/>
      <c r="G112" s="0"/>
      <c r="H112" s="0"/>
    </row>
    <row r="113" customFormat="false" ht="12.5" hidden="true" customHeight="false" outlineLevel="0" collapsed="false">
      <c r="A113" s="0" t="s">
        <v>327</v>
      </c>
      <c r="B113" s="65" t="n">
        <v>1</v>
      </c>
      <c r="C113" s="71" t="s">
        <v>221</v>
      </c>
      <c r="D113" s="0"/>
      <c r="E113" s="0"/>
      <c r="F113" s="0"/>
      <c r="G113" s="0"/>
      <c r="H113" s="0"/>
    </row>
    <row r="114" customFormat="false" ht="12.5" hidden="false" customHeight="false" outlineLevel="0" collapsed="false">
      <c r="A114" s="0" t="s">
        <v>328</v>
      </c>
      <c r="B114" s="65" t="n">
        <v>1</v>
      </c>
      <c r="C114" s="69"/>
      <c r="G114" s="72" t="s">
        <v>36</v>
      </c>
      <c r="H114" s="72"/>
    </row>
    <row r="115" customFormat="false" ht="12.5" hidden="true" customHeight="false" outlineLevel="0" collapsed="false">
      <c r="A115" s="0" t="s">
        <v>329</v>
      </c>
      <c r="B115" s="65" t="n">
        <v>1</v>
      </c>
      <c r="C115" s="71" t="s">
        <v>221</v>
      </c>
      <c r="D115" s="0"/>
      <c r="E115" s="0"/>
      <c r="F115" s="0"/>
      <c r="G115" s="0"/>
      <c r="H115" s="0"/>
    </row>
    <row r="116" customFormat="false" ht="12.5" hidden="true" customHeight="false" outlineLevel="0" collapsed="false">
      <c r="A116" s="0" t="s">
        <v>330</v>
      </c>
      <c r="B116" s="65" t="n">
        <v>1</v>
      </c>
      <c r="C116" s="71" t="s">
        <v>221</v>
      </c>
      <c r="D116" s="0"/>
      <c r="E116" s="0"/>
      <c r="F116" s="0"/>
      <c r="G116" s="0"/>
      <c r="H116" s="0"/>
    </row>
    <row r="117" customFormat="false" ht="12.5" hidden="true" customHeight="false" outlineLevel="0" collapsed="false">
      <c r="A117" s="0" t="s">
        <v>331</v>
      </c>
      <c r="B117" s="65" t="n">
        <v>1</v>
      </c>
      <c r="C117" s="71" t="s">
        <v>221</v>
      </c>
      <c r="D117" s="0"/>
      <c r="E117" s="0"/>
      <c r="F117" s="0"/>
      <c r="G117" s="0"/>
      <c r="H117" s="0"/>
    </row>
    <row r="118" customFormat="false" ht="12.5" hidden="true" customHeight="false" outlineLevel="0" collapsed="false">
      <c r="A118" s="0" t="s">
        <v>332</v>
      </c>
      <c r="B118" s="65" t="n">
        <v>1</v>
      </c>
      <c r="C118" s="71" t="s">
        <v>221</v>
      </c>
      <c r="D118" s="0"/>
      <c r="E118" s="0"/>
      <c r="F118" s="0"/>
      <c r="G118" s="0"/>
      <c r="H118" s="0"/>
    </row>
    <row r="119" customFormat="false" ht="12.5" hidden="true" customHeight="false" outlineLevel="0" collapsed="false">
      <c r="A119" s="0" t="s">
        <v>333</v>
      </c>
      <c r="B119" s="65" t="n">
        <v>1</v>
      </c>
      <c r="C119" s="71" t="s">
        <v>221</v>
      </c>
      <c r="D119" s="0"/>
      <c r="E119" s="0"/>
      <c r="F119" s="0"/>
      <c r="G119" s="0"/>
      <c r="H119" s="0"/>
    </row>
    <row r="120" customFormat="false" ht="12.5" hidden="true" customHeight="false" outlineLevel="0" collapsed="false">
      <c r="A120" s="0" t="s">
        <v>334</v>
      </c>
      <c r="B120" s="65" t="n">
        <v>1</v>
      </c>
      <c r="C120" s="71" t="s">
        <v>221</v>
      </c>
      <c r="D120" s="0"/>
      <c r="E120" s="0"/>
      <c r="F120" s="0"/>
      <c r="G120" s="0"/>
      <c r="H120" s="0"/>
    </row>
    <row r="121" customFormat="false" ht="12.5" hidden="true" customHeight="false" outlineLevel="0" collapsed="false">
      <c r="A121" s="0" t="s">
        <v>335</v>
      </c>
      <c r="B121" s="65" t="n">
        <v>1</v>
      </c>
      <c r="C121" s="71" t="s">
        <v>221</v>
      </c>
      <c r="F121" s="72"/>
    </row>
    <row r="122" customFormat="false" ht="12.5" hidden="true" customHeight="false" outlineLevel="0" collapsed="false">
      <c r="A122" s="0" t="s">
        <v>336</v>
      </c>
      <c r="B122" s="65" t="n">
        <v>1</v>
      </c>
      <c r="C122" s="71" t="s">
        <v>221</v>
      </c>
    </row>
    <row r="123" customFormat="false" ht="12.5" hidden="true" customHeight="false" outlineLevel="0" collapsed="false">
      <c r="A123" s="0" t="s">
        <v>337</v>
      </c>
      <c r="B123" s="65" t="n">
        <v>1</v>
      </c>
      <c r="C123" s="71" t="s">
        <v>221</v>
      </c>
    </row>
    <row r="124" customFormat="false" ht="12.5" hidden="true" customHeight="false" outlineLevel="0" collapsed="false">
      <c r="A124" s="0" t="s">
        <v>338</v>
      </c>
      <c r="B124" s="65" t="n">
        <v>1</v>
      </c>
      <c r="C124" s="71" t="s">
        <v>221</v>
      </c>
      <c r="D124" s="0"/>
      <c r="E124" s="0"/>
      <c r="F124" s="0"/>
      <c r="G124" s="0"/>
      <c r="H124" s="0"/>
    </row>
    <row r="125" customFormat="false" ht="12.5" hidden="true" customHeight="false" outlineLevel="0" collapsed="false">
      <c r="A125" s="0" t="s">
        <v>339</v>
      </c>
      <c r="B125" s="65" t="n">
        <v>1</v>
      </c>
      <c r="C125" s="71" t="s">
        <v>221</v>
      </c>
      <c r="D125" s="0"/>
      <c r="E125" s="0"/>
      <c r="F125" s="0"/>
      <c r="G125" s="0"/>
      <c r="H125" s="0"/>
    </row>
    <row r="126" customFormat="false" ht="12.5" hidden="false" customHeight="false" outlineLevel="0" collapsed="false">
      <c r="A126" s="0" t="s">
        <v>340</v>
      </c>
      <c r="B126" s="65" t="n">
        <v>1</v>
      </c>
      <c r="C126" s="69"/>
      <c r="D126" s="72" t="s">
        <v>36</v>
      </c>
    </row>
    <row r="127" customFormat="false" ht="5" hidden="false" customHeight="true" outlineLevel="0" collapsed="false">
      <c r="C127" s="69"/>
    </row>
    <row r="128" customFormat="false" ht="13" hidden="false" customHeight="false" outlineLevel="0" collapsed="false">
      <c r="A128" s="70" t="s">
        <v>341</v>
      </c>
      <c r="B128" s="73"/>
      <c r="C128" s="74"/>
      <c r="D128" s="42"/>
      <c r="E128" s="42"/>
      <c r="F128" s="42"/>
      <c r="G128" s="42"/>
      <c r="H128" s="42"/>
    </row>
    <row r="129" customFormat="false" ht="12.5" hidden="true" customHeight="false" outlineLevel="0" collapsed="false">
      <c r="A129" s="0" t="s">
        <v>342</v>
      </c>
      <c r="B129" s="65" t="n">
        <v>1</v>
      </c>
      <c r="C129" s="71" t="s">
        <v>221</v>
      </c>
      <c r="D129" s="0"/>
      <c r="E129" s="0"/>
      <c r="F129" s="0"/>
      <c r="G129" s="0"/>
      <c r="H129" s="0"/>
    </row>
    <row r="130" customFormat="false" ht="12.5" hidden="false" customHeight="false" outlineLevel="0" collapsed="false">
      <c r="A130" s="0" t="s">
        <v>343</v>
      </c>
      <c r="B130" s="65" t="n">
        <v>1</v>
      </c>
      <c r="C130" s="69"/>
      <c r="G130" s="72" t="s">
        <v>36</v>
      </c>
    </row>
    <row r="131" customFormat="false" ht="12.5" hidden="true" customHeight="false" outlineLevel="0" collapsed="false">
      <c r="A131" s="0" t="s">
        <v>344</v>
      </c>
      <c r="B131" s="65" t="n">
        <v>1</v>
      </c>
      <c r="C131" s="71" t="s">
        <v>221</v>
      </c>
      <c r="D131" s="0"/>
      <c r="E131" s="0"/>
      <c r="F131" s="0"/>
      <c r="G131" s="0"/>
      <c r="H131" s="0"/>
    </row>
    <row r="132" customFormat="false" ht="12.5" hidden="false" customHeight="false" outlineLevel="0" collapsed="false">
      <c r="A132" s="0" t="s">
        <v>345</v>
      </c>
      <c r="B132" s="65" t="n">
        <v>1</v>
      </c>
      <c r="C132" s="69"/>
      <c r="G132" s="72" t="s">
        <v>36</v>
      </c>
    </row>
    <row r="133" customFormat="false" ht="12.5" hidden="true" customHeight="false" outlineLevel="0" collapsed="false">
      <c r="A133" s="0" t="s">
        <v>346</v>
      </c>
      <c r="B133" s="65" t="n">
        <v>1</v>
      </c>
      <c r="C133" s="71" t="s">
        <v>221</v>
      </c>
      <c r="D133" s="0"/>
      <c r="E133" s="0"/>
      <c r="F133" s="0"/>
      <c r="G133" s="0"/>
      <c r="H133" s="0"/>
    </row>
    <row r="134" customFormat="false" ht="4.5" hidden="false" customHeight="true" outlineLevel="0" collapsed="false">
      <c r="C134" s="69"/>
      <c r="D134" s="72"/>
      <c r="E134" s="72"/>
    </row>
    <row r="135" customFormat="false" ht="13" hidden="false" customHeight="false" outlineLevel="0" collapsed="false">
      <c r="A135" s="70" t="s">
        <v>347</v>
      </c>
      <c r="B135" s="73"/>
      <c r="C135" s="74"/>
      <c r="D135" s="42"/>
      <c r="E135" s="42"/>
      <c r="F135" s="42"/>
      <c r="G135" s="42"/>
      <c r="H135" s="42"/>
    </row>
    <row r="136" customFormat="false" ht="12.5" hidden="true" customHeight="false" outlineLevel="0" collapsed="false">
      <c r="A136" s="0" t="s">
        <v>348</v>
      </c>
      <c r="B136" s="65" t="n">
        <v>1</v>
      </c>
      <c r="C136" s="69" t="s">
        <v>221</v>
      </c>
      <c r="D136" s="0"/>
      <c r="E136" s="0"/>
      <c r="F136" s="0"/>
      <c r="G136" s="0"/>
      <c r="H136" s="0"/>
    </row>
    <row r="137" customFormat="false" ht="12.5" hidden="true" customHeight="false" outlineLevel="0" collapsed="false">
      <c r="A137" s="0" t="s">
        <v>349</v>
      </c>
      <c r="B137" s="65" t="n">
        <v>1</v>
      </c>
      <c r="C137" s="69" t="s">
        <v>221</v>
      </c>
      <c r="D137" s="0"/>
      <c r="E137" s="0"/>
      <c r="F137" s="0"/>
      <c r="G137" s="0"/>
      <c r="H137" s="0"/>
    </row>
    <row r="138" customFormat="false" ht="12.5" hidden="true" customHeight="false" outlineLevel="0" collapsed="false">
      <c r="A138" s="0" t="s">
        <v>350</v>
      </c>
      <c r="B138" s="65" t="n">
        <v>1</v>
      </c>
      <c r="C138" s="69" t="s">
        <v>221</v>
      </c>
      <c r="D138" s="0"/>
      <c r="E138" s="0"/>
      <c r="F138" s="0"/>
      <c r="G138" s="0"/>
      <c r="H138" s="0"/>
    </row>
    <row r="139" customFormat="false" ht="12.5" hidden="true" customHeight="false" outlineLevel="0" collapsed="false">
      <c r="A139" s="0" t="s">
        <v>351</v>
      </c>
      <c r="B139" s="65" t="n">
        <v>1</v>
      </c>
      <c r="C139" s="69" t="s">
        <v>221</v>
      </c>
      <c r="D139" s="0"/>
      <c r="E139" s="0"/>
      <c r="F139" s="0"/>
      <c r="G139" s="0"/>
      <c r="H139" s="0"/>
    </row>
    <row r="140" customFormat="false" ht="12.5" hidden="true" customHeight="false" outlineLevel="0" collapsed="false">
      <c r="A140" s="0" t="s">
        <v>352</v>
      </c>
      <c r="B140" s="65" t="n">
        <v>1</v>
      </c>
      <c r="C140" s="69" t="s">
        <v>221</v>
      </c>
      <c r="D140" s="0"/>
      <c r="E140" s="0"/>
      <c r="F140" s="0"/>
      <c r="G140" s="0"/>
      <c r="H140" s="0"/>
    </row>
    <row r="141" customFormat="false" ht="4.5" hidden="false" customHeight="true" outlineLevel="0" collapsed="false">
      <c r="C141" s="69"/>
    </row>
    <row r="142" customFormat="false" ht="13" hidden="false" customHeight="false" outlineLevel="0" collapsed="false">
      <c r="A142" s="70" t="s">
        <v>353</v>
      </c>
      <c r="B142" s="73"/>
      <c r="C142" s="74"/>
      <c r="D142" s="42"/>
      <c r="E142" s="42"/>
      <c r="F142" s="42"/>
      <c r="G142" s="42"/>
      <c r="H142" s="42"/>
    </row>
    <row r="143" customFormat="false" ht="12.5" hidden="true" customHeight="false" outlineLevel="0" collapsed="false">
      <c r="A143" s="0" t="s">
        <v>354</v>
      </c>
      <c r="B143" s="65" t="n">
        <v>1</v>
      </c>
      <c r="C143" s="69" t="s">
        <v>221</v>
      </c>
      <c r="D143" s="0"/>
      <c r="E143" s="0"/>
      <c r="F143" s="0"/>
      <c r="G143" s="0"/>
      <c r="H143" s="0"/>
    </row>
    <row r="144" customFormat="false" ht="12.5" hidden="true" customHeight="false" outlineLevel="0" collapsed="false">
      <c r="A144" s="0" t="s">
        <v>355</v>
      </c>
      <c r="B144" s="65" t="n">
        <v>1</v>
      </c>
      <c r="C144" s="69" t="s">
        <v>221</v>
      </c>
      <c r="D144" s="0"/>
      <c r="E144" s="0"/>
      <c r="F144" s="0"/>
      <c r="G144" s="0"/>
      <c r="H144" s="0"/>
    </row>
    <row r="145" customFormat="false" ht="12.5" hidden="true" customHeight="false" outlineLevel="0" collapsed="false">
      <c r="A145" s="0" t="s">
        <v>356</v>
      </c>
      <c r="B145" s="65" t="n">
        <v>1</v>
      </c>
      <c r="C145" s="69" t="s">
        <v>221</v>
      </c>
      <c r="D145" s="0"/>
      <c r="E145" s="0"/>
      <c r="F145" s="0"/>
      <c r="G145" s="0"/>
      <c r="H145" s="0"/>
    </row>
    <row r="146" customFormat="false" ht="12.5" hidden="true" customHeight="false" outlineLevel="0" collapsed="false">
      <c r="A146" s="0" t="s">
        <v>357</v>
      </c>
      <c r="B146" s="65" t="n">
        <v>1</v>
      </c>
      <c r="C146" s="69" t="s">
        <v>221</v>
      </c>
      <c r="D146" s="0"/>
      <c r="E146" s="0"/>
      <c r="F146" s="0"/>
      <c r="G146" s="0"/>
      <c r="H146" s="0"/>
    </row>
    <row r="147" customFormat="false" ht="12.5" hidden="true" customHeight="false" outlineLevel="0" collapsed="false">
      <c r="A147" s="0" t="s">
        <v>358</v>
      </c>
      <c r="B147" s="65" t="n">
        <v>1</v>
      </c>
      <c r="C147" s="69" t="s">
        <v>221</v>
      </c>
      <c r="D147" s="0"/>
      <c r="E147" s="0"/>
      <c r="F147" s="0"/>
      <c r="G147" s="0"/>
      <c r="H147" s="0"/>
    </row>
    <row r="148" customFormat="false" ht="12.5" hidden="true" customHeight="false" outlineLevel="0" collapsed="false">
      <c r="A148" s="0" t="s">
        <v>359</v>
      </c>
      <c r="B148" s="65" t="n">
        <v>1</v>
      </c>
      <c r="C148" s="69" t="s">
        <v>221</v>
      </c>
      <c r="H148" s="72"/>
    </row>
    <row r="149" customFormat="false" ht="12.5" hidden="true" customHeight="false" outlineLevel="0" collapsed="false">
      <c r="A149" s="0" t="s">
        <v>360</v>
      </c>
      <c r="B149" s="65" t="n">
        <v>1</v>
      </c>
      <c r="C149" s="69" t="s">
        <v>221</v>
      </c>
      <c r="D149" s="0"/>
      <c r="E149" s="0"/>
      <c r="F149" s="0"/>
      <c r="G149" s="0"/>
      <c r="H149" s="0"/>
    </row>
    <row r="150" customFormat="false" ht="12.5" hidden="true" customHeight="false" outlineLevel="0" collapsed="false">
      <c r="A150" s="0" t="s">
        <v>361</v>
      </c>
      <c r="B150" s="65" t="n">
        <v>1</v>
      </c>
      <c r="C150" s="69" t="s">
        <v>221</v>
      </c>
      <c r="D150" s="0"/>
      <c r="E150" s="0"/>
      <c r="F150" s="0"/>
      <c r="G150" s="0"/>
      <c r="H150" s="0"/>
    </row>
    <row r="151" customFormat="false" ht="12.5" hidden="true" customHeight="false" outlineLevel="0" collapsed="false">
      <c r="A151" s="0" t="s">
        <v>362</v>
      </c>
      <c r="B151" s="65" t="n">
        <v>1</v>
      </c>
      <c r="C151" s="69" t="s">
        <v>221</v>
      </c>
      <c r="D151" s="0"/>
      <c r="E151" s="0"/>
      <c r="F151" s="0"/>
      <c r="G151" s="0"/>
      <c r="H151" s="0"/>
    </row>
    <row r="152" customFormat="false" ht="12.5" hidden="true" customHeight="false" outlineLevel="0" collapsed="false">
      <c r="A152" s="0" t="s">
        <v>363</v>
      </c>
      <c r="B152" s="65" t="n">
        <v>1</v>
      </c>
      <c r="C152" s="69" t="s">
        <v>221</v>
      </c>
      <c r="H152" s="72"/>
    </row>
    <row r="153" customFormat="false" ht="12.5" hidden="false" customHeight="false" outlineLevel="0" collapsed="false">
      <c r="A153" s="0" t="s">
        <v>364</v>
      </c>
      <c r="B153" s="65" t="n">
        <v>1</v>
      </c>
      <c r="C153" s="69"/>
      <c r="E153" s="72" t="s">
        <v>36</v>
      </c>
    </row>
    <row r="154" customFormat="false" ht="12.5" hidden="false" customHeight="false" outlineLevel="0" collapsed="false">
      <c r="A154" s="0" t="s">
        <v>365</v>
      </c>
      <c r="B154" s="65" t="n">
        <v>1</v>
      </c>
      <c r="C154" s="69"/>
      <c r="E154" s="72" t="s">
        <v>36</v>
      </c>
    </row>
    <row r="155" customFormat="false" ht="12.5" hidden="true" customHeight="false" outlineLevel="0" collapsed="false">
      <c r="A155" s="0" t="s">
        <v>366</v>
      </c>
      <c r="B155" s="65" t="n">
        <v>1</v>
      </c>
      <c r="C155" s="69" t="s">
        <v>221</v>
      </c>
      <c r="D155" s="0"/>
      <c r="E155" s="0"/>
      <c r="F155" s="0"/>
      <c r="G155" s="0"/>
      <c r="H155" s="0"/>
    </row>
    <row r="156" customFormat="false" ht="12.5" hidden="false" customHeight="false" outlineLevel="0" collapsed="false">
      <c r="A156" s="0" t="s">
        <v>367</v>
      </c>
      <c r="B156" s="65" t="n">
        <v>1</v>
      </c>
      <c r="C156" s="69"/>
      <c r="D156" s="72" t="s">
        <v>36</v>
      </c>
    </row>
    <row r="157" customFormat="false" ht="12.5" hidden="false" customHeight="false" outlineLevel="0" collapsed="false">
      <c r="A157" s="0" t="s">
        <v>368</v>
      </c>
      <c r="B157" s="65" t="n">
        <v>1</v>
      </c>
      <c r="C157" s="69"/>
      <c r="D157" s="72" t="s">
        <v>36</v>
      </c>
    </row>
    <row r="158" customFormat="false" ht="12.5" hidden="false" customHeight="false" outlineLevel="0" collapsed="false">
      <c r="A158" s="0" t="s">
        <v>369</v>
      </c>
      <c r="B158" s="65" t="n">
        <v>1</v>
      </c>
      <c r="C158" s="69"/>
      <c r="D158" s="72" t="s">
        <v>36</v>
      </c>
    </row>
    <row r="159" customFormat="false" ht="12.5" hidden="true" customHeight="false" outlineLevel="0" collapsed="false">
      <c r="A159" s="0" t="s">
        <v>370</v>
      </c>
      <c r="B159" s="65" t="n">
        <v>1</v>
      </c>
      <c r="C159" s="71" t="s">
        <v>221</v>
      </c>
    </row>
    <row r="160" customFormat="false" ht="12.5" hidden="false" customHeight="false" outlineLevel="0" collapsed="false">
      <c r="A160" s="0" t="s">
        <v>371</v>
      </c>
      <c r="B160" s="65" t="n">
        <v>1</v>
      </c>
      <c r="C160" s="69"/>
      <c r="D160" s="72" t="s">
        <v>36</v>
      </c>
    </row>
    <row r="161" customFormat="false" ht="12.5" hidden="false" customHeight="false" outlineLevel="0" collapsed="false">
      <c r="A161" s="0" t="s">
        <v>372</v>
      </c>
      <c r="B161" s="65" t="n">
        <v>1</v>
      </c>
      <c r="C161" s="69"/>
      <c r="D161" s="72" t="s">
        <v>36</v>
      </c>
    </row>
    <row r="162" customFormat="false" ht="12.5" hidden="true" customHeight="false" outlineLevel="0" collapsed="false">
      <c r="A162" s="0" t="s">
        <v>373</v>
      </c>
      <c r="B162" s="65" t="n">
        <v>1</v>
      </c>
      <c r="C162" s="69" t="s">
        <v>221</v>
      </c>
      <c r="D162" s="0"/>
      <c r="E162" s="0"/>
      <c r="F162" s="0"/>
      <c r="G162" s="0"/>
      <c r="H162" s="0"/>
    </row>
    <row r="163" customFormat="false" ht="12.5" hidden="true" customHeight="false" outlineLevel="0" collapsed="false">
      <c r="A163" s="0" t="s">
        <v>374</v>
      </c>
      <c r="B163" s="65" t="n">
        <v>1</v>
      </c>
      <c r="C163" s="69" t="s">
        <v>221</v>
      </c>
      <c r="D163" s="0"/>
      <c r="E163" s="0"/>
      <c r="F163" s="0"/>
      <c r="G163" s="0"/>
      <c r="H163" s="0"/>
    </row>
    <row r="164" customFormat="false" ht="12.5" hidden="true" customHeight="false" outlineLevel="0" collapsed="false">
      <c r="A164" s="0" t="s">
        <v>375</v>
      </c>
      <c r="B164" s="65" t="n">
        <v>1</v>
      </c>
      <c r="C164" s="69" t="s">
        <v>221</v>
      </c>
      <c r="D164" s="0"/>
      <c r="E164" s="0"/>
      <c r="F164" s="0"/>
      <c r="G164" s="0"/>
      <c r="H164" s="0"/>
    </row>
    <row r="165" customFormat="false" ht="12.5" hidden="false" customHeight="false" outlineLevel="0" collapsed="false">
      <c r="A165" s="0" t="s">
        <v>376</v>
      </c>
      <c r="B165" s="65" t="n">
        <v>1</v>
      </c>
      <c r="C165" s="69"/>
      <c r="D165" s="72" t="s">
        <v>36</v>
      </c>
    </row>
    <row r="166" customFormat="false" ht="12.5" hidden="true" customHeight="false" outlineLevel="0" collapsed="false">
      <c r="A166" s="0" t="s">
        <v>377</v>
      </c>
      <c r="B166" s="65" t="n">
        <v>1</v>
      </c>
      <c r="C166" s="69" t="s">
        <v>221</v>
      </c>
      <c r="D166" s="0"/>
      <c r="E166" s="0"/>
      <c r="F166" s="0"/>
      <c r="G166" s="0"/>
      <c r="H166" s="0"/>
    </row>
    <row r="167" customFormat="false" ht="12.5" hidden="false" customHeight="false" outlineLevel="0" collapsed="false">
      <c r="A167" s="0" t="s">
        <v>378</v>
      </c>
      <c r="B167" s="65" t="n">
        <v>1</v>
      </c>
      <c r="C167" s="69"/>
      <c r="H167" s="72" t="s">
        <v>36</v>
      </c>
    </row>
    <row r="168" customFormat="false" ht="12.5" hidden="true" customHeight="false" outlineLevel="0" collapsed="false">
      <c r="A168" s="0" t="s">
        <v>379</v>
      </c>
      <c r="B168" s="65" t="n">
        <v>1</v>
      </c>
      <c r="C168" s="69" t="s">
        <v>221</v>
      </c>
      <c r="D168" s="0"/>
      <c r="E168" s="0"/>
      <c r="F168" s="0"/>
      <c r="G168" s="0"/>
      <c r="H168" s="0"/>
    </row>
    <row r="169" customFormat="false" ht="12.5" hidden="true" customHeight="false" outlineLevel="0" collapsed="false">
      <c r="A169" s="0" t="s">
        <v>380</v>
      </c>
      <c r="B169" s="65" t="n">
        <v>1</v>
      </c>
      <c r="C169" s="69" t="s">
        <v>221</v>
      </c>
      <c r="D169" s="0"/>
      <c r="E169" s="0"/>
      <c r="F169" s="0"/>
      <c r="G169" s="0"/>
      <c r="H169" s="0"/>
    </row>
    <row r="170" customFormat="false" ht="12.5" hidden="false" customHeight="false" outlineLevel="0" collapsed="false">
      <c r="A170" s="0" t="s">
        <v>381</v>
      </c>
      <c r="B170" s="65" t="n">
        <v>1</v>
      </c>
      <c r="C170" s="69"/>
      <c r="H170" s="72" t="s">
        <v>36</v>
      </c>
    </row>
    <row r="171" customFormat="false" ht="12.5" hidden="true" customHeight="false" outlineLevel="0" collapsed="false">
      <c r="A171" s="0" t="s">
        <v>382</v>
      </c>
      <c r="B171" s="65" t="n">
        <v>1</v>
      </c>
      <c r="C171" s="69" t="s">
        <v>221</v>
      </c>
      <c r="D171" s="0"/>
      <c r="E171" s="0"/>
      <c r="F171" s="0"/>
      <c r="G171" s="0"/>
      <c r="H171" s="0"/>
    </row>
    <row r="172" customFormat="false" ht="12.5" hidden="false" customHeight="false" outlineLevel="0" collapsed="false">
      <c r="A172" s="0" t="s">
        <v>383</v>
      </c>
      <c r="B172" s="65" t="n">
        <v>1</v>
      </c>
      <c r="C172" s="69"/>
      <c r="H172" s="72" t="s">
        <v>36</v>
      </c>
    </row>
    <row r="173" customFormat="false" ht="12.5" hidden="false" customHeight="false" outlineLevel="0" collapsed="false">
      <c r="A173" s="0" t="s">
        <v>384</v>
      </c>
      <c r="B173" s="65" t="n">
        <v>1</v>
      </c>
      <c r="C173" s="69"/>
      <c r="H173" s="72" t="s">
        <v>36</v>
      </c>
    </row>
    <row r="174" customFormat="false" ht="12.5" hidden="true" customHeight="false" outlineLevel="0" collapsed="false">
      <c r="A174" s="0" t="s">
        <v>385</v>
      </c>
      <c r="B174" s="65" t="n">
        <v>1</v>
      </c>
      <c r="C174" s="69" t="s">
        <v>221</v>
      </c>
      <c r="D174" s="0"/>
      <c r="E174" s="0"/>
      <c r="F174" s="0"/>
      <c r="G174" s="0"/>
      <c r="H174" s="0"/>
    </row>
    <row r="175" customFormat="false" ht="12.5" hidden="true" customHeight="false" outlineLevel="0" collapsed="false">
      <c r="A175" s="0" t="s">
        <v>386</v>
      </c>
      <c r="B175" s="65" t="n">
        <v>1</v>
      </c>
      <c r="C175" s="69" t="s">
        <v>221</v>
      </c>
      <c r="D175" s="0"/>
      <c r="E175" s="0"/>
      <c r="F175" s="0"/>
      <c r="G175" s="0"/>
      <c r="H175" s="0"/>
    </row>
    <row r="176" customFormat="false" ht="12.5" hidden="true" customHeight="false" outlineLevel="0" collapsed="false">
      <c r="A176" s="0" t="s">
        <v>387</v>
      </c>
      <c r="B176" s="65" t="n">
        <v>1</v>
      </c>
      <c r="C176" s="69" t="s">
        <v>221</v>
      </c>
      <c r="D176" s="0"/>
      <c r="E176" s="0"/>
      <c r="F176" s="0"/>
      <c r="G176" s="0"/>
      <c r="H176" s="0"/>
    </row>
    <row r="177" customFormat="false" ht="12.5" hidden="true" customHeight="false" outlineLevel="0" collapsed="false">
      <c r="A177" s="0" t="s">
        <v>388</v>
      </c>
      <c r="B177" s="65" t="n">
        <v>1</v>
      </c>
      <c r="C177" s="69" t="s">
        <v>221</v>
      </c>
      <c r="D177" s="0"/>
      <c r="E177" s="0"/>
      <c r="F177" s="0"/>
      <c r="G177" s="0"/>
      <c r="H177" s="0"/>
    </row>
    <row r="178" customFormat="false" ht="12.5" hidden="true" customHeight="false" outlineLevel="0" collapsed="false">
      <c r="A178" s="0" t="s">
        <v>389</v>
      </c>
      <c r="B178" s="65" t="n">
        <v>1</v>
      </c>
      <c r="C178" s="69" t="s">
        <v>221</v>
      </c>
      <c r="D178" s="0"/>
      <c r="E178" s="0"/>
      <c r="F178" s="0"/>
      <c r="G178" s="0"/>
      <c r="H178" s="0"/>
    </row>
    <row r="179" customFormat="false" ht="12.5" hidden="true" customHeight="false" outlineLevel="0" collapsed="false">
      <c r="A179" s="0" t="s">
        <v>390</v>
      </c>
      <c r="B179" s="65" t="n">
        <v>1</v>
      </c>
      <c r="C179" s="69" t="s">
        <v>221</v>
      </c>
      <c r="D179" s="0"/>
      <c r="E179" s="0"/>
      <c r="F179" s="0"/>
      <c r="G179" s="0"/>
      <c r="H179" s="0"/>
    </row>
    <row r="180" customFormat="false" ht="12.5" hidden="true" customHeight="false" outlineLevel="0" collapsed="false">
      <c r="A180" s="0" t="s">
        <v>391</v>
      </c>
      <c r="B180" s="65" t="n">
        <v>1</v>
      </c>
      <c r="C180" s="69" t="s">
        <v>221</v>
      </c>
      <c r="D180" s="0"/>
      <c r="E180" s="0"/>
      <c r="F180" s="0"/>
      <c r="G180" s="0"/>
      <c r="H180" s="0"/>
    </row>
    <row r="181" customFormat="false" ht="12.5" hidden="true" customHeight="false" outlineLevel="0" collapsed="false">
      <c r="A181" s="0" t="s">
        <v>392</v>
      </c>
      <c r="B181" s="65" t="n">
        <v>1</v>
      </c>
      <c r="C181" s="69" t="s">
        <v>221</v>
      </c>
      <c r="D181" s="0"/>
      <c r="E181" s="0"/>
      <c r="F181" s="0"/>
      <c r="G181" s="0"/>
      <c r="H181" s="0"/>
    </row>
    <row r="182" customFormat="false" ht="12.5" hidden="true" customHeight="false" outlineLevel="0" collapsed="false">
      <c r="A182" s="0" t="s">
        <v>393</v>
      </c>
      <c r="B182" s="65" t="n">
        <v>1</v>
      </c>
      <c r="C182" s="69" t="s">
        <v>221</v>
      </c>
      <c r="D182" s="0"/>
      <c r="E182" s="0"/>
      <c r="F182" s="0"/>
      <c r="G182" s="0"/>
      <c r="H182" s="0"/>
    </row>
    <row r="183" customFormat="false" ht="12.5" hidden="true" customHeight="false" outlineLevel="0" collapsed="false">
      <c r="A183" s="0" t="s">
        <v>394</v>
      </c>
      <c r="B183" s="65" t="n">
        <v>1</v>
      </c>
      <c r="C183" s="69" t="s">
        <v>221</v>
      </c>
      <c r="E183" s="72"/>
    </row>
    <row r="184" customFormat="false" ht="12.5" hidden="true" customHeight="false" outlineLevel="0" collapsed="false">
      <c r="A184" s="0" t="s">
        <v>395</v>
      </c>
      <c r="B184" s="65" t="n">
        <v>1</v>
      </c>
      <c r="C184" s="69" t="s">
        <v>221</v>
      </c>
      <c r="D184" s="0"/>
      <c r="E184" s="0"/>
      <c r="F184" s="0"/>
      <c r="G184" s="0"/>
      <c r="H184" s="0"/>
    </row>
    <row r="185" customFormat="false" ht="12.5" hidden="true" customHeight="false" outlineLevel="0" collapsed="false">
      <c r="A185" s="0" t="s">
        <v>396</v>
      </c>
      <c r="B185" s="65" t="n">
        <v>1</v>
      </c>
      <c r="C185" s="69" t="s">
        <v>221</v>
      </c>
      <c r="D185" s="0"/>
      <c r="E185" s="0"/>
      <c r="F185" s="0"/>
      <c r="G185" s="0"/>
      <c r="H185" s="0"/>
    </row>
    <row r="186" customFormat="false" ht="12.5" hidden="false" customHeight="false" outlineLevel="0" collapsed="false">
      <c r="A186" s="0" t="s">
        <v>397</v>
      </c>
      <c r="B186" s="65" t="n">
        <v>1</v>
      </c>
      <c r="C186" s="69"/>
      <c r="E186" s="72" t="s">
        <v>36</v>
      </c>
    </row>
    <row r="187" customFormat="false" ht="12.5" hidden="false" customHeight="false" outlineLevel="0" collapsed="false">
      <c r="A187" s="0" t="s">
        <v>398</v>
      </c>
      <c r="B187" s="65" t="n">
        <v>1</v>
      </c>
      <c r="C187" s="69"/>
      <c r="E187" s="72" t="s">
        <v>36</v>
      </c>
    </row>
    <row r="188" customFormat="false" ht="12.5" hidden="false" customHeight="false" outlineLevel="0" collapsed="false">
      <c r="A188" s="0" t="s">
        <v>399</v>
      </c>
      <c r="B188" s="65" t="n">
        <v>1</v>
      </c>
      <c r="C188" s="69"/>
      <c r="E188" s="72" t="s">
        <v>36</v>
      </c>
    </row>
    <row r="189" customFormat="false" ht="12.5" hidden="false" customHeight="false" outlineLevel="0" collapsed="false">
      <c r="A189" s="0" t="s">
        <v>400</v>
      </c>
      <c r="B189" s="65" t="n">
        <v>1</v>
      </c>
      <c r="C189" s="69"/>
      <c r="E189" s="72" t="s">
        <v>36</v>
      </c>
    </row>
    <row r="190" customFormat="false" ht="12.5" hidden="false" customHeight="false" outlineLevel="0" collapsed="false">
      <c r="A190" s="0" t="s">
        <v>401</v>
      </c>
      <c r="B190" s="65" t="n">
        <v>1</v>
      </c>
      <c r="C190" s="69"/>
      <c r="E190" s="72" t="s">
        <v>36</v>
      </c>
    </row>
    <row r="191" customFormat="false" ht="12.5" hidden="false" customHeight="false" outlineLevel="0" collapsed="false">
      <c r="A191" s="0" t="s">
        <v>402</v>
      </c>
      <c r="B191" s="65" t="n">
        <v>1</v>
      </c>
      <c r="C191" s="69"/>
      <c r="E191" s="72" t="s">
        <v>36</v>
      </c>
    </row>
    <row r="192" customFormat="false" ht="12.5" hidden="false" customHeight="false" outlineLevel="0" collapsed="false">
      <c r="A192" s="0" t="s">
        <v>403</v>
      </c>
      <c r="B192" s="65" t="n">
        <v>1</v>
      </c>
      <c r="C192" s="69"/>
      <c r="E192" s="72" t="s">
        <v>36</v>
      </c>
    </row>
    <row r="193" customFormat="false" ht="12.5" hidden="false" customHeight="false" outlineLevel="0" collapsed="false">
      <c r="A193" s="0" t="s">
        <v>404</v>
      </c>
      <c r="B193" s="65" t="n">
        <v>1</v>
      </c>
      <c r="C193" s="69"/>
      <c r="E193" s="72" t="s">
        <v>36</v>
      </c>
    </row>
    <row r="194" customFormat="false" ht="12.5" hidden="false" customHeight="false" outlineLevel="0" collapsed="false">
      <c r="A194" s="0" t="s">
        <v>405</v>
      </c>
      <c r="B194" s="65" t="n">
        <v>1</v>
      </c>
      <c r="C194" s="69"/>
      <c r="E194" s="72" t="s">
        <v>36</v>
      </c>
    </row>
    <row r="195" customFormat="false" ht="12.5" hidden="false" customHeight="false" outlineLevel="0" collapsed="false">
      <c r="A195" s="0" t="s">
        <v>406</v>
      </c>
      <c r="B195" s="65" t="n">
        <v>1</v>
      </c>
      <c r="C195" s="69"/>
      <c r="E195" s="72" t="s">
        <v>36</v>
      </c>
    </row>
    <row r="196" customFormat="false" ht="12.5" hidden="false" customHeight="false" outlineLevel="0" collapsed="false">
      <c r="A196" s="0" t="s">
        <v>407</v>
      </c>
      <c r="B196" s="65" t="n">
        <v>1</v>
      </c>
      <c r="C196" s="69"/>
      <c r="E196" s="72" t="s">
        <v>36</v>
      </c>
    </row>
    <row r="197" customFormat="false" ht="12.5" hidden="false" customHeight="false" outlineLevel="0" collapsed="false">
      <c r="A197" s="0" t="s">
        <v>408</v>
      </c>
      <c r="B197" s="65" t="n">
        <v>1</v>
      </c>
      <c r="C197" s="69"/>
      <c r="E197" s="72" t="s">
        <v>36</v>
      </c>
    </row>
    <row r="198" customFormat="false" ht="12.5" hidden="false" customHeight="false" outlineLevel="0" collapsed="false">
      <c r="A198" s="0" t="s">
        <v>409</v>
      </c>
      <c r="B198" s="65" t="n">
        <v>1</v>
      </c>
      <c r="C198" s="69"/>
      <c r="H198" s="72" t="s">
        <v>36</v>
      </c>
    </row>
    <row r="199" customFormat="false" ht="12.5" hidden="false" customHeight="false" outlineLevel="0" collapsed="false">
      <c r="A199" s="0" t="s">
        <v>410</v>
      </c>
      <c r="B199" s="65" t="n">
        <v>1</v>
      </c>
      <c r="C199" s="69"/>
      <c r="E199" s="72" t="s">
        <v>36</v>
      </c>
    </row>
    <row r="200" customFormat="false" ht="12.5" hidden="false" customHeight="false" outlineLevel="0" collapsed="false">
      <c r="A200" s="0" t="s">
        <v>411</v>
      </c>
      <c r="B200" s="65" t="n">
        <v>1</v>
      </c>
      <c r="C200" s="69"/>
      <c r="D200" s="72" t="s">
        <v>36</v>
      </c>
    </row>
    <row r="201" customFormat="false" ht="12.5" hidden="false" customHeight="false" outlineLevel="0" collapsed="false">
      <c r="A201" s="0" t="s">
        <v>412</v>
      </c>
      <c r="B201" s="65" t="n">
        <v>1</v>
      </c>
      <c r="C201" s="69"/>
      <c r="D201" s="72" t="s">
        <v>36</v>
      </c>
    </row>
    <row r="202" customFormat="false" ht="12.5" hidden="true" customHeight="false" outlineLevel="0" collapsed="false">
      <c r="A202" s="0" t="s">
        <v>413</v>
      </c>
      <c r="B202" s="65" t="n">
        <v>1</v>
      </c>
      <c r="C202" s="69" t="s">
        <v>221</v>
      </c>
      <c r="D202" s="0"/>
      <c r="E202" s="0"/>
      <c r="F202" s="0"/>
      <c r="G202" s="0"/>
      <c r="H202" s="0"/>
    </row>
    <row r="203" customFormat="false" ht="4.5" hidden="false" customHeight="true" outlineLevel="0" collapsed="false">
      <c r="C203" s="69"/>
    </row>
    <row r="204" customFormat="false" ht="13" hidden="false" customHeight="false" outlineLevel="0" collapsed="false">
      <c r="A204" s="70" t="s">
        <v>414</v>
      </c>
      <c r="B204" s="73"/>
      <c r="C204" s="74"/>
      <c r="D204" s="42"/>
      <c r="E204" s="42"/>
      <c r="F204" s="42"/>
      <c r="G204" s="42"/>
      <c r="H204" s="42"/>
    </row>
    <row r="205" customFormat="false" ht="12.5" hidden="true" customHeight="false" outlineLevel="0" collapsed="false">
      <c r="A205" s="0" t="s">
        <v>415</v>
      </c>
      <c r="B205" s="65" t="n">
        <v>1</v>
      </c>
      <c r="C205" s="69" t="s">
        <v>221</v>
      </c>
      <c r="D205" s="0"/>
      <c r="E205" s="0"/>
      <c r="F205" s="0"/>
      <c r="G205" s="0"/>
      <c r="H205" s="0"/>
    </row>
    <row r="206" customFormat="false" ht="12.5" hidden="true" customHeight="false" outlineLevel="0" collapsed="false">
      <c r="A206" s="0" t="s">
        <v>416</v>
      </c>
      <c r="B206" s="65" t="n">
        <v>1</v>
      </c>
      <c r="C206" s="69" t="s">
        <v>221</v>
      </c>
      <c r="D206" s="0"/>
      <c r="E206" s="0"/>
      <c r="F206" s="0"/>
      <c r="G206" s="0"/>
      <c r="H206" s="0"/>
    </row>
    <row r="207" customFormat="false" ht="12.5" hidden="true" customHeight="false" outlineLevel="0" collapsed="false">
      <c r="A207" s="0" t="s">
        <v>417</v>
      </c>
      <c r="B207" s="65" t="n">
        <v>1</v>
      </c>
      <c r="C207" s="69" t="s">
        <v>221</v>
      </c>
      <c r="D207" s="0"/>
      <c r="E207" s="0"/>
      <c r="F207" s="0"/>
      <c r="G207" s="0"/>
      <c r="H207" s="0"/>
    </row>
    <row r="208" customFormat="false" ht="12.5" hidden="true" customHeight="false" outlineLevel="0" collapsed="false">
      <c r="A208" s="0" t="s">
        <v>418</v>
      </c>
      <c r="B208" s="65" t="n">
        <v>1</v>
      </c>
      <c r="C208" s="69" t="s">
        <v>221</v>
      </c>
      <c r="D208" s="0"/>
      <c r="E208" s="0"/>
      <c r="F208" s="0"/>
      <c r="G208" s="0"/>
      <c r="H208" s="0"/>
    </row>
    <row r="209" customFormat="false" ht="12.5" hidden="true" customHeight="false" outlineLevel="0" collapsed="false">
      <c r="A209" s="0" t="s">
        <v>419</v>
      </c>
      <c r="B209" s="65" t="n">
        <v>1</v>
      </c>
      <c r="C209" s="69" t="s">
        <v>221</v>
      </c>
      <c r="D209" s="0"/>
      <c r="E209" s="0"/>
      <c r="F209" s="0"/>
      <c r="G209" s="0"/>
      <c r="H209" s="0"/>
    </row>
    <row r="210" customFormat="false" ht="12.5" hidden="false" customHeight="false" outlineLevel="0" collapsed="false">
      <c r="A210" s="0" t="s">
        <v>420</v>
      </c>
      <c r="B210" s="65" t="n">
        <v>1</v>
      </c>
      <c r="C210" s="69"/>
      <c r="E210" s="72" t="s">
        <v>36</v>
      </c>
    </row>
    <row r="211" customFormat="false" ht="12.5" hidden="true" customHeight="false" outlineLevel="0" collapsed="false">
      <c r="A211" s="0" t="s">
        <v>421</v>
      </c>
      <c r="B211" s="65" t="n">
        <v>1</v>
      </c>
      <c r="C211" s="69" t="s">
        <v>221</v>
      </c>
      <c r="D211" s="0"/>
      <c r="E211" s="0"/>
      <c r="F211" s="0"/>
      <c r="G211" s="0"/>
      <c r="H211" s="0"/>
    </row>
    <row r="212" customFormat="false" ht="12.5" hidden="true" customHeight="false" outlineLevel="0" collapsed="false">
      <c r="A212" s="0" t="s">
        <v>422</v>
      </c>
      <c r="B212" s="65" t="n">
        <v>1</v>
      </c>
      <c r="C212" s="69" t="s">
        <v>221</v>
      </c>
      <c r="D212" s="0"/>
      <c r="E212" s="0"/>
      <c r="F212" s="0"/>
      <c r="G212" s="0"/>
      <c r="H212" s="0"/>
    </row>
    <row r="213" customFormat="false" ht="12.5" hidden="true" customHeight="false" outlineLevel="0" collapsed="false">
      <c r="A213" s="0" t="s">
        <v>423</v>
      </c>
      <c r="B213" s="65" t="n">
        <v>1</v>
      </c>
      <c r="C213" s="69" t="s">
        <v>221</v>
      </c>
      <c r="D213" s="0"/>
      <c r="E213" s="0"/>
      <c r="F213" s="0"/>
      <c r="G213" s="0"/>
      <c r="H213" s="0"/>
    </row>
    <row r="214" customFormat="false" ht="12.5" hidden="true" customHeight="false" outlineLevel="0" collapsed="false">
      <c r="A214" s="0" t="s">
        <v>424</v>
      </c>
      <c r="B214" s="65" t="n">
        <v>1</v>
      </c>
      <c r="C214" s="69" t="s">
        <v>221</v>
      </c>
      <c r="D214" s="0"/>
      <c r="E214" s="0"/>
      <c r="F214" s="0"/>
      <c r="G214" s="0"/>
      <c r="H214" s="0"/>
    </row>
    <row r="215" customFormat="false" ht="12.5" hidden="true" customHeight="false" outlineLevel="0" collapsed="false">
      <c r="A215" s="0" t="s">
        <v>425</v>
      </c>
      <c r="B215" s="65" t="n">
        <v>1</v>
      </c>
      <c r="C215" s="69" t="s">
        <v>221</v>
      </c>
      <c r="D215" s="0"/>
      <c r="E215" s="0"/>
      <c r="F215" s="0"/>
      <c r="G215" s="0"/>
      <c r="H215" s="0"/>
    </row>
    <row r="216" customFormat="false" ht="12.5" hidden="true" customHeight="false" outlineLevel="0" collapsed="false">
      <c r="A216" s="0" t="s">
        <v>426</v>
      </c>
      <c r="B216" s="65" t="n">
        <v>1</v>
      </c>
      <c r="C216" s="69" t="s">
        <v>221</v>
      </c>
      <c r="D216" s="0"/>
      <c r="E216" s="0"/>
      <c r="F216" s="0"/>
      <c r="G216" s="0"/>
      <c r="H216" s="0"/>
    </row>
    <row r="217" customFormat="false" ht="12.5" hidden="true" customHeight="false" outlineLevel="0" collapsed="false">
      <c r="A217" s="0" t="s">
        <v>427</v>
      </c>
      <c r="B217" s="65" t="n">
        <v>1</v>
      </c>
      <c r="C217" s="69" t="s">
        <v>221</v>
      </c>
      <c r="D217" s="0"/>
      <c r="E217" s="0"/>
      <c r="F217" s="0"/>
      <c r="G217" s="0"/>
      <c r="H217" s="0"/>
    </row>
    <row r="218" customFormat="false" ht="12.5" hidden="true" customHeight="false" outlineLevel="0" collapsed="false">
      <c r="A218" s="0" t="s">
        <v>428</v>
      </c>
      <c r="B218" s="65" t="n">
        <v>1</v>
      </c>
      <c r="C218" s="69" t="s">
        <v>221</v>
      </c>
      <c r="D218" s="0"/>
      <c r="E218" s="0"/>
      <c r="F218" s="0"/>
      <c r="G218" s="0"/>
      <c r="H218" s="0"/>
    </row>
    <row r="219" customFormat="false" ht="12.5" hidden="true" customHeight="false" outlineLevel="0" collapsed="false">
      <c r="A219" s="0" t="s">
        <v>429</v>
      </c>
      <c r="B219" s="65" t="n">
        <v>1</v>
      </c>
      <c r="C219" s="69" t="s">
        <v>221</v>
      </c>
      <c r="D219" s="0"/>
      <c r="E219" s="0"/>
      <c r="F219" s="0"/>
      <c r="G219" s="0"/>
      <c r="H219" s="0"/>
    </row>
    <row r="220" customFormat="false" ht="12.5" hidden="true" customHeight="false" outlineLevel="0" collapsed="false">
      <c r="A220" s="0" t="s">
        <v>430</v>
      </c>
      <c r="B220" s="65" t="n">
        <v>1</v>
      </c>
      <c r="C220" s="69" t="s">
        <v>221</v>
      </c>
      <c r="D220" s="0"/>
      <c r="E220" s="0"/>
      <c r="F220" s="0"/>
      <c r="G220" s="0"/>
      <c r="H220" s="0"/>
    </row>
    <row r="221" customFormat="false" ht="4" hidden="false" customHeight="true" outlineLevel="0" collapsed="false">
      <c r="C221" s="69"/>
    </row>
    <row r="222" customFormat="false" ht="13" hidden="false" customHeight="false" outlineLevel="0" collapsed="false">
      <c r="A222" s="70" t="s">
        <v>431</v>
      </c>
      <c r="B222" s="73"/>
      <c r="C222" s="74"/>
      <c r="D222" s="42"/>
      <c r="E222" s="42"/>
      <c r="F222" s="42"/>
      <c r="G222" s="42"/>
      <c r="H222" s="42"/>
    </row>
    <row r="223" customFormat="false" ht="12.5" hidden="false" customHeight="false" outlineLevel="0" collapsed="false">
      <c r="A223" s="0" t="s">
        <v>432</v>
      </c>
      <c r="B223" s="65" t="n">
        <v>1</v>
      </c>
      <c r="C223" s="69"/>
      <c r="D223" s="72" t="s">
        <v>36</v>
      </c>
    </row>
    <row r="224" customFormat="false" ht="12.5" hidden="true" customHeight="false" outlineLevel="0" collapsed="false">
      <c r="A224" s="0" t="s">
        <v>433</v>
      </c>
      <c r="B224" s="65" t="n">
        <v>1</v>
      </c>
      <c r="C224" s="69" t="s">
        <v>221</v>
      </c>
      <c r="D224" s="0"/>
      <c r="E224" s="0"/>
      <c r="F224" s="0"/>
      <c r="G224" s="0"/>
      <c r="H224" s="0"/>
    </row>
    <row r="225" customFormat="false" ht="12.5" hidden="false" customHeight="false" outlineLevel="0" collapsed="false">
      <c r="A225" s="0" t="s">
        <v>434</v>
      </c>
      <c r="B225" s="65" t="n">
        <v>1</v>
      </c>
      <c r="C225" s="69"/>
      <c r="D225" s="72" t="s">
        <v>36</v>
      </c>
    </row>
    <row r="226" customFormat="false" ht="12.5" hidden="true" customHeight="false" outlineLevel="0" collapsed="false">
      <c r="A226" s="0" t="s">
        <v>435</v>
      </c>
      <c r="B226" s="65" t="n">
        <v>1</v>
      </c>
      <c r="C226" s="69" t="s">
        <v>221</v>
      </c>
      <c r="D226" s="0"/>
      <c r="E226" s="0"/>
      <c r="F226" s="0"/>
      <c r="G226" s="0"/>
      <c r="H226" s="0"/>
    </row>
    <row r="227" customFormat="false" ht="12.5" hidden="true" customHeight="false" outlineLevel="0" collapsed="false">
      <c r="A227" s="0" t="s">
        <v>436</v>
      </c>
      <c r="B227" s="65" t="n">
        <v>1</v>
      </c>
      <c r="C227" s="69" t="s">
        <v>221</v>
      </c>
      <c r="D227" s="0"/>
      <c r="E227" s="0"/>
      <c r="F227" s="0"/>
      <c r="G227" s="0"/>
      <c r="H227" s="0"/>
    </row>
    <row r="228" customFormat="false" ht="12.5" hidden="false" customHeight="false" outlineLevel="0" collapsed="false">
      <c r="A228" s="0" t="s">
        <v>437</v>
      </c>
      <c r="B228" s="65" t="n">
        <v>1</v>
      </c>
      <c r="C228" s="69"/>
      <c r="E228" s="72" t="s">
        <v>36</v>
      </c>
    </row>
    <row r="229" customFormat="false" ht="3.5" hidden="false" customHeight="true" outlineLevel="0" collapsed="false">
      <c r="C229" s="69"/>
    </row>
    <row r="230" customFormat="false" ht="13" hidden="false" customHeight="false" outlineLevel="0" collapsed="false">
      <c r="A230" s="70" t="s">
        <v>438</v>
      </c>
      <c r="B230" s="73"/>
      <c r="C230" s="74"/>
      <c r="D230" s="42"/>
      <c r="E230" s="42"/>
      <c r="F230" s="42"/>
      <c r="G230" s="42"/>
      <c r="H230" s="42"/>
    </row>
    <row r="231" customFormat="false" ht="12.5" hidden="false" customHeight="false" outlineLevel="0" collapsed="false">
      <c r="A231" s="0" t="s">
        <v>439</v>
      </c>
      <c r="B231" s="65" t="n">
        <v>1</v>
      </c>
      <c r="C231" s="69"/>
      <c r="E231" s="72" t="s">
        <v>36</v>
      </c>
    </row>
    <row r="232" customFormat="false" ht="12.5" hidden="false" customHeight="false" outlineLevel="0" collapsed="false">
      <c r="A232" s="0" t="s">
        <v>440</v>
      </c>
      <c r="B232" s="65" t="n">
        <v>1</v>
      </c>
      <c r="C232" s="69"/>
      <c r="G232" s="72" t="s">
        <v>36</v>
      </c>
    </row>
    <row r="233" customFormat="false" ht="12.5" hidden="true" customHeight="false" outlineLevel="0" collapsed="false">
      <c r="A233" s="0" t="s">
        <v>441</v>
      </c>
      <c r="B233" s="65" t="n">
        <v>1</v>
      </c>
      <c r="C233" s="69" t="s">
        <v>221</v>
      </c>
      <c r="D233" s="0"/>
      <c r="F233" s="0"/>
      <c r="G233" s="0"/>
      <c r="H233" s="0"/>
    </row>
    <row r="234" customFormat="false" ht="12.5" hidden="false" customHeight="false" outlineLevel="0" collapsed="false">
      <c r="A234" s="0" t="s">
        <v>442</v>
      </c>
      <c r="B234" s="65" t="n">
        <v>1</v>
      </c>
      <c r="C234" s="69"/>
      <c r="H234" s="72" t="s">
        <v>36</v>
      </c>
    </row>
    <row r="235" customFormat="false" ht="12.5" hidden="false" customHeight="false" outlineLevel="0" collapsed="false">
      <c r="A235" s="64" t="s">
        <v>443</v>
      </c>
      <c r="B235" s="65" t="n">
        <v>1</v>
      </c>
      <c r="C235" s="69"/>
      <c r="E235" s="72" t="s">
        <v>36</v>
      </c>
    </row>
    <row r="236" customFormat="false" ht="12.5" hidden="true" customHeight="false" outlineLevel="0" collapsed="false">
      <c r="A236" s="0" t="s">
        <v>444</v>
      </c>
      <c r="B236" s="65" t="n">
        <v>1</v>
      </c>
      <c r="C236" s="69" t="s">
        <v>221</v>
      </c>
      <c r="D236" s="0"/>
      <c r="E236" s="0"/>
      <c r="F236" s="0"/>
      <c r="G236" s="0"/>
      <c r="H236" s="0"/>
    </row>
    <row r="237" customFormat="false" ht="12.5" hidden="true" customHeight="false" outlineLevel="0" collapsed="false">
      <c r="A237" s="0" t="s">
        <v>445</v>
      </c>
      <c r="B237" s="65" t="n">
        <v>1</v>
      </c>
      <c r="C237" s="69" t="s">
        <v>221</v>
      </c>
      <c r="D237" s="0"/>
      <c r="E237" s="0"/>
      <c r="F237" s="0"/>
      <c r="G237" s="0"/>
      <c r="H237" s="0"/>
    </row>
    <row r="238" customFormat="false" ht="12.5" hidden="true" customHeight="false" outlineLevel="0" collapsed="false">
      <c r="A238" s="0" t="s">
        <v>446</v>
      </c>
      <c r="B238" s="65" t="n">
        <v>1</v>
      </c>
      <c r="C238" s="69" t="s">
        <v>221</v>
      </c>
      <c r="D238" s="0"/>
      <c r="E238" s="0"/>
      <c r="F238" s="0"/>
      <c r="G238" s="0"/>
      <c r="H238" s="0"/>
    </row>
    <row r="239" customFormat="false" ht="12.5" hidden="true" customHeight="false" outlineLevel="0" collapsed="false">
      <c r="A239" s="0" t="s">
        <v>447</v>
      </c>
      <c r="B239" s="65" t="n">
        <v>1</v>
      </c>
      <c r="C239" s="69" t="s">
        <v>221</v>
      </c>
      <c r="D239" s="0"/>
      <c r="E239" s="0"/>
      <c r="F239" s="0"/>
      <c r="G239" s="0"/>
      <c r="H239" s="0"/>
    </row>
    <row r="240" customFormat="false" ht="12.5" hidden="true" customHeight="false" outlineLevel="0" collapsed="false">
      <c r="A240" s="0" t="s">
        <v>448</v>
      </c>
      <c r="B240" s="65" t="n">
        <v>1</v>
      </c>
      <c r="C240" s="69" t="s">
        <v>221</v>
      </c>
      <c r="D240" s="0"/>
      <c r="E240" s="0"/>
      <c r="F240" s="0"/>
      <c r="G240" s="0"/>
      <c r="H240" s="0"/>
    </row>
    <row r="241" customFormat="false" ht="12.5" hidden="true" customHeight="false" outlineLevel="0" collapsed="false">
      <c r="A241" s="0" t="s">
        <v>449</v>
      </c>
      <c r="B241" s="65" t="n">
        <v>1</v>
      </c>
      <c r="C241" s="69" t="s">
        <v>221</v>
      </c>
      <c r="D241" s="0"/>
      <c r="E241" s="0"/>
      <c r="F241" s="0"/>
      <c r="G241" s="0"/>
      <c r="H241" s="0"/>
    </row>
    <row r="242" customFormat="false" ht="12.5" hidden="true" customHeight="false" outlineLevel="0" collapsed="false">
      <c r="A242" s="0" t="s">
        <v>450</v>
      </c>
      <c r="B242" s="65" t="n">
        <v>1</v>
      </c>
      <c r="C242" s="69" t="s">
        <v>221</v>
      </c>
      <c r="D242" s="0"/>
      <c r="E242" s="0"/>
      <c r="F242" s="0"/>
      <c r="G242" s="0"/>
      <c r="H242" s="0"/>
    </row>
    <row r="243" customFormat="false" ht="12.5" hidden="true" customHeight="false" outlineLevel="0" collapsed="false">
      <c r="A243" s="0" t="s">
        <v>451</v>
      </c>
      <c r="B243" s="65" t="n">
        <v>1</v>
      </c>
      <c r="C243" s="69" t="s">
        <v>221</v>
      </c>
      <c r="D243" s="0"/>
      <c r="E243" s="0"/>
      <c r="F243" s="0"/>
      <c r="G243" s="0"/>
      <c r="H243" s="0"/>
    </row>
    <row r="244" customFormat="false" ht="12.5" hidden="true" customHeight="false" outlineLevel="0" collapsed="false">
      <c r="A244" s="0" t="s">
        <v>452</v>
      </c>
      <c r="B244" s="65" t="n">
        <v>1</v>
      </c>
      <c r="C244" s="69" t="s">
        <v>221</v>
      </c>
      <c r="D244" s="0"/>
      <c r="E244" s="0"/>
      <c r="F244" s="0"/>
      <c r="G244" s="0"/>
      <c r="H244" s="0"/>
    </row>
    <row r="245" customFormat="false" ht="12.5" hidden="true" customHeight="false" outlineLevel="0" collapsed="false">
      <c r="A245" s="0" t="s">
        <v>453</v>
      </c>
      <c r="B245" s="65" t="n">
        <v>1</v>
      </c>
      <c r="C245" s="69" t="s">
        <v>221</v>
      </c>
      <c r="D245" s="0"/>
      <c r="E245" s="0"/>
      <c r="F245" s="0"/>
      <c r="G245" s="0"/>
      <c r="H245" s="0"/>
    </row>
    <row r="246" customFormat="false" ht="12.5" hidden="true" customHeight="false" outlineLevel="0" collapsed="false">
      <c r="A246" s="0" t="s">
        <v>454</v>
      </c>
      <c r="B246" s="65" t="n">
        <v>1</v>
      </c>
      <c r="C246" s="69" t="s">
        <v>221</v>
      </c>
      <c r="D246" s="0"/>
      <c r="E246" s="0"/>
      <c r="F246" s="0"/>
      <c r="G246" s="0"/>
      <c r="H246" s="0"/>
    </row>
    <row r="247" customFormat="false" ht="12.5" hidden="true" customHeight="false" outlineLevel="0" collapsed="false">
      <c r="A247" s="0" t="s">
        <v>455</v>
      </c>
      <c r="B247" s="65" t="n">
        <v>1</v>
      </c>
      <c r="C247" s="69" t="s">
        <v>221</v>
      </c>
      <c r="D247" s="0"/>
      <c r="E247" s="0"/>
      <c r="F247" s="0"/>
      <c r="G247" s="0"/>
      <c r="H247" s="0"/>
    </row>
    <row r="248" customFormat="false" ht="12.5" hidden="true" customHeight="false" outlineLevel="0" collapsed="false">
      <c r="A248" s="0" t="s">
        <v>456</v>
      </c>
      <c r="B248" s="65" t="n">
        <v>1</v>
      </c>
      <c r="C248" s="69" t="s">
        <v>221</v>
      </c>
      <c r="D248" s="0"/>
      <c r="E248" s="0"/>
      <c r="F248" s="0"/>
      <c r="G248" s="0"/>
      <c r="H248" s="0"/>
    </row>
    <row r="249" customFormat="false" ht="12.5" hidden="true" customHeight="false" outlineLevel="0" collapsed="false">
      <c r="A249" s="0" t="s">
        <v>457</v>
      </c>
      <c r="B249" s="65" t="n">
        <v>1</v>
      </c>
      <c r="C249" s="69" t="s">
        <v>221</v>
      </c>
      <c r="D249" s="0"/>
      <c r="E249" s="0"/>
      <c r="F249" s="0"/>
      <c r="G249" s="0"/>
      <c r="H249" s="0"/>
    </row>
    <row r="250" customFormat="false" ht="12.5" hidden="true" customHeight="false" outlineLevel="0" collapsed="false">
      <c r="A250" s="0" t="s">
        <v>458</v>
      </c>
      <c r="B250" s="65" t="n">
        <v>1</v>
      </c>
      <c r="C250" s="69" t="s">
        <v>221</v>
      </c>
      <c r="D250" s="0"/>
      <c r="E250" s="0"/>
      <c r="F250" s="0"/>
      <c r="G250" s="0"/>
      <c r="H250" s="0"/>
    </row>
    <row r="251" customFormat="false" ht="12.5" hidden="true" customHeight="false" outlineLevel="0" collapsed="false">
      <c r="A251" s="0" t="s">
        <v>459</v>
      </c>
      <c r="B251" s="65" t="n">
        <v>1</v>
      </c>
      <c r="C251" s="69" t="s">
        <v>221</v>
      </c>
      <c r="D251" s="0"/>
      <c r="E251" s="0"/>
      <c r="F251" s="0"/>
      <c r="G251" s="0"/>
      <c r="H251" s="0"/>
    </row>
    <row r="252" customFormat="false" ht="12.5" hidden="true" customHeight="false" outlineLevel="0" collapsed="false">
      <c r="A252" s="0" t="s">
        <v>460</v>
      </c>
      <c r="B252" s="65" t="n">
        <v>1</v>
      </c>
      <c r="C252" s="69" t="s">
        <v>221</v>
      </c>
      <c r="D252" s="0"/>
      <c r="E252" s="0"/>
      <c r="F252" s="0"/>
      <c r="G252" s="0"/>
      <c r="H252" s="0"/>
    </row>
    <row r="253" customFormat="false" ht="12.5" hidden="true" customHeight="false" outlineLevel="0" collapsed="false">
      <c r="A253" s="0" t="s">
        <v>461</v>
      </c>
      <c r="B253" s="65" t="n">
        <v>1</v>
      </c>
      <c r="C253" s="69" t="s">
        <v>221</v>
      </c>
      <c r="D253" s="0"/>
      <c r="E253" s="0"/>
      <c r="F253" s="0"/>
      <c r="G253" s="0"/>
      <c r="H253" s="0"/>
    </row>
    <row r="254" customFormat="false" ht="12.5" hidden="true" customHeight="false" outlineLevel="0" collapsed="false">
      <c r="A254" s="0" t="s">
        <v>462</v>
      </c>
      <c r="B254" s="65" t="n">
        <v>1</v>
      </c>
      <c r="C254" s="69" t="s">
        <v>221</v>
      </c>
      <c r="D254" s="0"/>
      <c r="E254" s="0"/>
      <c r="F254" s="0"/>
      <c r="G254" s="0"/>
      <c r="H254" s="0"/>
    </row>
    <row r="255" customFormat="false" ht="12.5" hidden="false" customHeight="false" outlineLevel="0" collapsed="false">
      <c r="A255" s="0" t="s">
        <v>463</v>
      </c>
      <c r="B255" s="65" t="n">
        <v>1</v>
      </c>
      <c r="C255" s="69"/>
      <c r="E255" s="72"/>
      <c r="G255" s="43" t="s">
        <v>36</v>
      </c>
    </row>
    <row r="256" customFormat="false" ht="12.5" hidden="false" customHeight="false" outlineLevel="0" collapsed="false">
      <c r="A256" s="0" t="s">
        <v>464</v>
      </c>
      <c r="B256" s="65" t="n">
        <v>1</v>
      </c>
      <c r="C256" s="69"/>
      <c r="E256" s="72" t="s">
        <v>36</v>
      </c>
    </row>
    <row r="257" customFormat="false" ht="12.5" hidden="false" customHeight="false" outlineLevel="0" collapsed="false">
      <c r="A257" s="0" t="s">
        <v>465</v>
      </c>
      <c r="B257" s="65" t="n">
        <v>1</v>
      </c>
      <c r="C257" s="69"/>
      <c r="E257" s="72" t="s">
        <v>36</v>
      </c>
    </row>
    <row r="258" customFormat="false" ht="12.5" hidden="false" customHeight="false" outlineLevel="0" collapsed="false">
      <c r="A258" s="0" t="s">
        <v>466</v>
      </c>
      <c r="B258" s="65" t="n">
        <v>1</v>
      </c>
      <c r="C258" s="69"/>
      <c r="E258" s="72" t="s">
        <v>36</v>
      </c>
    </row>
    <row r="259" customFormat="false" ht="12.5" hidden="false" customHeight="false" outlineLevel="0" collapsed="false">
      <c r="A259" s="0" t="s">
        <v>467</v>
      </c>
      <c r="B259" s="65" t="n">
        <v>1</v>
      </c>
      <c r="C259" s="69"/>
      <c r="E259" s="72" t="s">
        <v>36</v>
      </c>
    </row>
    <row r="260" customFormat="false" ht="12.5" hidden="false" customHeight="false" outlineLevel="0" collapsed="false">
      <c r="A260" s="0" t="s">
        <v>468</v>
      </c>
      <c r="B260" s="65" t="n">
        <v>1</v>
      </c>
      <c r="C260" s="69"/>
      <c r="E260" s="72" t="s">
        <v>36</v>
      </c>
    </row>
    <row r="261" customFormat="false" ht="12.5" hidden="false" customHeight="false" outlineLevel="0" collapsed="false">
      <c r="A261" s="0" t="s">
        <v>469</v>
      </c>
      <c r="B261" s="65" t="n">
        <v>1</v>
      </c>
      <c r="C261" s="69"/>
      <c r="E261" s="72" t="s">
        <v>36</v>
      </c>
    </row>
    <row r="262" customFormat="false" ht="12.5" hidden="false" customHeight="false" outlineLevel="0" collapsed="false">
      <c r="A262" s="0" t="s">
        <v>470</v>
      </c>
      <c r="B262" s="65" t="n">
        <v>1</v>
      </c>
      <c r="C262" s="69"/>
      <c r="E262" s="72" t="s">
        <v>36</v>
      </c>
    </row>
    <row r="263" customFormat="false" ht="12.5" hidden="false" customHeight="false" outlineLevel="0" collapsed="false">
      <c r="A263" s="0" t="s">
        <v>471</v>
      </c>
      <c r="B263" s="65" t="n">
        <v>1</v>
      </c>
      <c r="C263" s="69"/>
      <c r="E263" s="72" t="s">
        <v>36</v>
      </c>
    </row>
    <row r="264" customFormat="false" ht="12.5" hidden="false" customHeight="false" outlineLevel="0" collapsed="false">
      <c r="A264" s="0" t="s">
        <v>472</v>
      </c>
      <c r="B264" s="65" t="n">
        <v>1</v>
      </c>
      <c r="C264" s="69"/>
      <c r="E264" s="72" t="s">
        <v>36</v>
      </c>
    </row>
    <row r="265" customFormat="false" ht="12.5" hidden="false" customHeight="false" outlineLevel="0" collapsed="false">
      <c r="A265" s="0" t="s">
        <v>473</v>
      </c>
      <c r="B265" s="65" t="n">
        <v>1</v>
      </c>
      <c r="C265" s="69"/>
      <c r="E265" s="72" t="s">
        <v>36</v>
      </c>
    </row>
    <row r="266" customFormat="false" ht="12.5" hidden="false" customHeight="false" outlineLevel="0" collapsed="false">
      <c r="A266" s="0" t="s">
        <v>474</v>
      </c>
      <c r="B266" s="65" t="n">
        <v>1</v>
      </c>
      <c r="C266" s="69"/>
      <c r="E266" s="72" t="s">
        <v>36</v>
      </c>
    </row>
    <row r="267" customFormat="false" ht="12.5" hidden="false" customHeight="false" outlineLevel="0" collapsed="false">
      <c r="A267" s="0" t="s">
        <v>475</v>
      </c>
      <c r="B267" s="65" t="n">
        <v>1</v>
      </c>
      <c r="C267" s="69"/>
      <c r="E267" s="72" t="s">
        <v>36</v>
      </c>
    </row>
    <row r="268" customFormat="false" ht="12.5" hidden="false" customHeight="false" outlineLevel="0" collapsed="false">
      <c r="A268" s="0" t="s">
        <v>476</v>
      </c>
      <c r="B268" s="65" t="n">
        <v>1</v>
      </c>
      <c r="C268" s="69"/>
      <c r="E268" s="72" t="s">
        <v>36</v>
      </c>
    </row>
    <row r="269" customFormat="false" ht="12.5" hidden="false" customHeight="false" outlineLevel="0" collapsed="false">
      <c r="A269" s="0" t="s">
        <v>477</v>
      </c>
      <c r="B269" s="65" t="n">
        <v>1</v>
      </c>
      <c r="C269" s="69"/>
      <c r="E269" s="72" t="s">
        <v>36</v>
      </c>
    </row>
    <row r="270" customFormat="false" ht="12.5" hidden="false" customHeight="false" outlineLevel="0" collapsed="false">
      <c r="A270" s="0" t="s">
        <v>478</v>
      </c>
      <c r="B270" s="65" t="n">
        <v>1</v>
      </c>
      <c r="C270" s="69"/>
      <c r="E270" s="72" t="s">
        <v>36</v>
      </c>
    </row>
    <row r="271" customFormat="false" ht="12.5" hidden="false" customHeight="false" outlineLevel="0" collapsed="false">
      <c r="A271" s="0" t="s">
        <v>479</v>
      </c>
      <c r="B271" s="65" t="n">
        <v>1</v>
      </c>
      <c r="C271" s="69"/>
      <c r="E271" s="72" t="s">
        <v>36</v>
      </c>
    </row>
    <row r="272" customFormat="false" ht="12.5" hidden="false" customHeight="false" outlineLevel="0" collapsed="false">
      <c r="A272" s="0" t="s">
        <v>480</v>
      </c>
      <c r="B272" s="65" t="n">
        <v>1</v>
      </c>
      <c r="C272" s="69"/>
      <c r="E272" s="72" t="s">
        <v>36</v>
      </c>
    </row>
    <row r="273" customFormat="false" ht="12.5" hidden="false" customHeight="false" outlineLevel="0" collapsed="false">
      <c r="A273" s="0" t="s">
        <v>481</v>
      </c>
      <c r="B273" s="65" t="n">
        <v>1</v>
      </c>
      <c r="C273" s="69"/>
      <c r="E273" s="72" t="s">
        <v>36</v>
      </c>
    </row>
    <row r="274" customFormat="false" ht="12.5" hidden="false" customHeight="false" outlineLevel="0" collapsed="false">
      <c r="A274" s="0" t="s">
        <v>482</v>
      </c>
      <c r="B274" s="65" t="n">
        <v>1</v>
      </c>
      <c r="C274" s="69"/>
      <c r="E274" s="72" t="s">
        <v>36</v>
      </c>
    </row>
    <row r="275" customFormat="false" ht="12.5" hidden="false" customHeight="false" outlineLevel="0" collapsed="false">
      <c r="A275" s="0" t="s">
        <v>483</v>
      </c>
      <c r="B275" s="65" t="n">
        <v>1</v>
      </c>
      <c r="C275" s="69"/>
      <c r="E275" s="72" t="s">
        <v>36</v>
      </c>
    </row>
    <row r="276" customFormat="false" ht="12.5" hidden="false" customHeight="false" outlineLevel="0" collapsed="false">
      <c r="A276" s="0" t="s">
        <v>484</v>
      </c>
      <c r="B276" s="65" t="n">
        <v>1</v>
      </c>
      <c r="C276" s="69"/>
      <c r="E276" s="72" t="s">
        <v>36</v>
      </c>
    </row>
    <row r="277" customFormat="false" ht="12.5" hidden="false" customHeight="false" outlineLevel="0" collapsed="false">
      <c r="A277" s="0" t="s">
        <v>485</v>
      </c>
      <c r="B277" s="65" t="n">
        <v>1</v>
      </c>
      <c r="C277" s="69"/>
      <c r="E277" s="72" t="s">
        <v>36</v>
      </c>
    </row>
    <row r="278" customFormat="false" ht="12.5" hidden="false" customHeight="false" outlineLevel="0" collapsed="false">
      <c r="A278" s="0" t="s">
        <v>486</v>
      </c>
      <c r="B278" s="65" t="n">
        <v>1</v>
      </c>
      <c r="C278" s="69"/>
      <c r="E278" s="72" t="s">
        <v>36</v>
      </c>
    </row>
    <row r="279" customFormat="false" ht="12.5" hidden="false" customHeight="false" outlineLevel="0" collapsed="false">
      <c r="A279" s="0" t="s">
        <v>487</v>
      </c>
      <c r="B279" s="65" t="n">
        <v>1</v>
      </c>
      <c r="C279" s="69"/>
      <c r="E279" s="72" t="s">
        <v>36</v>
      </c>
    </row>
    <row r="280" customFormat="false" ht="12.5" hidden="false" customHeight="false" outlineLevel="0" collapsed="false">
      <c r="A280" s="0" t="s">
        <v>488</v>
      </c>
      <c r="B280" s="65" t="n">
        <v>1</v>
      </c>
      <c r="C280" s="69"/>
      <c r="E280" s="72" t="s">
        <v>36</v>
      </c>
    </row>
    <row r="281" customFormat="false" ht="12.5" hidden="false" customHeight="false" outlineLevel="0" collapsed="false">
      <c r="A281" s="0" t="s">
        <v>489</v>
      </c>
      <c r="B281" s="65" t="n">
        <v>1</v>
      </c>
      <c r="C281" s="69"/>
      <c r="E281" s="72" t="s">
        <v>36</v>
      </c>
    </row>
    <row r="282" customFormat="false" ht="12.5" hidden="false" customHeight="false" outlineLevel="0" collapsed="false">
      <c r="A282" s="0" t="s">
        <v>490</v>
      </c>
      <c r="B282" s="65" t="n">
        <v>1</v>
      </c>
      <c r="C282" s="69"/>
      <c r="E282" s="72" t="s">
        <v>36</v>
      </c>
    </row>
    <row r="283" customFormat="false" ht="12.5" hidden="false" customHeight="false" outlineLevel="0" collapsed="false">
      <c r="A283" s="0" t="s">
        <v>491</v>
      </c>
      <c r="B283" s="65" t="n">
        <v>1</v>
      </c>
      <c r="C283" s="69"/>
      <c r="E283" s="72" t="s">
        <v>36</v>
      </c>
    </row>
    <row r="284" customFormat="false" ht="12.5" hidden="false" customHeight="false" outlineLevel="0" collapsed="false">
      <c r="A284" s="0" t="s">
        <v>492</v>
      </c>
      <c r="B284" s="65" t="n">
        <v>1</v>
      </c>
      <c r="C284" s="69"/>
      <c r="E284" s="72" t="s">
        <v>36</v>
      </c>
    </row>
    <row r="285" customFormat="false" ht="12.5" hidden="false" customHeight="false" outlineLevel="0" collapsed="false">
      <c r="A285" s="0" t="s">
        <v>493</v>
      </c>
      <c r="B285" s="65" t="n">
        <v>1</v>
      </c>
      <c r="C285" s="69"/>
      <c r="E285" s="72" t="s">
        <v>36</v>
      </c>
    </row>
    <row r="286" customFormat="false" ht="12.5" hidden="false" customHeight="false" outlineLevel="0" collapsed="false">
      <c r="A286" s="0" t="s">
        <v>494</v>
      </c>
      <c r="B286" s="65" t="n">
        <v>1</v>
      </c>
      <c r="C286" s="69"/>
      <c r="E286" s="72" t="s">
        <v>36</v>
      </c>
    </row>
    <row r="287" customFormat="false" ht="12.5" hidden="false" customHeight="false" outlineLevel="0" collapsed="false">
      <c r="A287" s="0" t="s">
        <v>495</v>
      </c>
      <c r="B287" s="65" t="n">
        <v>1</v>
      </c>
      <c r="C287" s="69"/>
      <c r="E287" s="72" t="s">
        <v>36</v>
      </c>
    </row>
    <row r="288" customFormat="false" ht="12.5" hidden="false" customHeight="false" outlineLevel="0" collapsed="false">
      <c r="A288" s="0" t="s">
        <v>496</v>
      </c>
      <c r="B288" s="65" t="n">
        <v>1</v>
      </c>
      <c r="C288" s="69"/>
      <c r="E288" s="72" t="s">
        <v>36</v>
      </c>
    </row>
    <row r="289" customFormat="false" ht="12.5" hidden="false" customHeight="false" outlineLevel="0" collapsed="false">
      <c r="A289" s="0" t="s">
        <v>497</v>
      </c>
      <c r="B289" s="65" t="n">
        <v>1</v>
      </c>
      <c r="C289" s="69"/>
      <c r="E289" s="72" t="s">
        <v>36</v>
      </c>
    </row>
    <row r="290" customFormat="false" ht="12.5" hidden="false" customHeight="false" outlineLevel="0" collapsed="false">
      <c r="A290" s="0" t="s">
        <v>498</v>
      </c>
      <c r="B290" s="65" t="n">
        <v>1</v>
      </c>
      <c r="C290" s="69"/>
      <c r="E290" s="72" t="s">
        <v>36</v>
      </c>
    </row>
    <row r="291" customFormat="false" ht="12.5" hidden="false" customHeight="false" outlineLevel="0" collapsed="false">
      <c r="A291" s="0" t="s">
        <v>499</v>
      </c>
      <c r="B291" s="65" t="n">
        <v>1</v>
      </c>
      <c r="C291" s="69"/>
      <c r="E291" s="72" t="s">
        <v>36</v>
      </c>
    </row>
    <row r="292" customFormat="false" ht="12.5" hidden="false" customHeight="false" outlineLevel="0" collapsed="false">
      <c r="A292" s="0" t="s">
        <v>500</v>
      </c>
      <c r="B292" s="65" t="n">
        <v>1</v>
      </c>
      <c r="C292" s="69"/>
      <c r="E292" s="72" t="s">
        <v>36</v>
      </c>
    </row>
    <row r="293" customFormat="false" ht="12.5" hidden="false" customHeight="false" outlineLevel="0" collapsed="false">
      <c r="A293" s="0" t="s">
        <v>501</v>
      </c>
      <c r="B293" s="65" t="n">
        <v>1</v>
      </c>
      <c r="C293" s="69"/>
      <c r="E293" s="72" t="s">
        <v>36</v>
      </c>
    </row>
    <row r="294" customFormat="false" ht="12.5" hidden="false" customHeight="false" outlineLevel="0" collapsed="false">
      <c r="A294" s="0" t="s">
        <v>502</v>
      </c>
      <c r="B294" s="65" t="n">
        <v>1</v>
      </c>
      <c r="C294" s="69"/>
      <c r="E294" s="72" t="s">
        <v>36</v>
      </c>
    </row>
    <row r="295" customFormat="false" ht="12.5" hidden="false" customHeight="false" outlineLevel="0" collapsed="false">
      <c r="A295" s="0" t="s">
        <v>503</v>
      </c>
      <c r="B295" s="65" t="n">
        <v>1</v>
      </c>
      <c r="C295" s="69"/>
      <c r="E295" s="72" t="s">
        <v>36</v>
      </c>
    </row>
    <row r="296" customFormat="false" ht="12.5" hidden="false" customHeight="false" outlineLevel="0" collapsed="false">
      <c r="A296" s="0" t="s">
        <v>504</v>
      </c>
      <c r="B296" s="65" t="n">
        <v>1</v>
      </c>
      <c r="C296" s="69"/>
      <c r="G296" s="72" t="s">
        <v>36</v>
      </c>
    </row>
    <row r="297" customFormat="false" ht="12.5" hidden="false" customHeight="false" outlineLevel="0" collapsed="false">
      <c r="A297" s="0" t="s">
        <v>505</v>
      </c>
      <c r="B297" s="65" t="n">
        <v>1</v>
      </c>
      <c r="C297" s="69"/>
      <c r="H297" s="72" t="s">
        <v>36</v>
      </c>
    </row>
    <row r="298" customFormat="false" ht="12.5" hidden="true" customHeight="false" outlineLevel="0" collapsed="false">
      <c r="A298" s="0" t="s">
        <v>506</v>
      </c>
      <c r="B298" s="65" t="n">
        <v>1</v>
      </c>
      <c r="C298" s="69" t="s">
        <v>221</v>
      </c>
      <c r="H298" s="72"/>
    </row>
    <row r="299" customFormat="false" ht="12.5" hidden="true" customHeight="false" outlineLevel="0" collapsed="false">
      <c r="A299" s="0" t="s">
        <v>507</v>
      </c>
      <c r="B299" s="65" t="n">
        <v>1</v>
      </c>
      <c r="C299" s="69" t="s">
        <v>221</v>
      </c>
      <c r="D299" s="0"/>
      <c r="E299" s="0"/>
      <c r="F299" s="0"/>
      <c r="G299" s="0"/>
      <c r="H299" s="0"/>
    </row>
    <row r="300" customFormat="false" ht="12.5" hidden="true" customHeight="false" outlineLevel="0" collapsed="false">
      <c r="A300" s="0" t="s">
        <v>508</v>
      </c>
      <c r="B300" s="65" t="n">
        <v>1</v>
      </c>
      <c r="C300" s="69" t="s">
        <v>221</v>
      </c>
      <c r="D300" s="0"/>
      <c r="E300" s="0"/>
      <c r="F300" s="0"/>
      <c r="G300" s="0"/>
      <c r="H300" s="0"/>
    </row>
    <row r="301" customFormat="false" ht="12.5" hidden="true" customHeight="false" outlineLevel="0" collapsed="false">
      <c r="A301" s="0" t="s">
        <v>509</v>
      </c>
      <c r="B301" s="65" t="n">
        <v>1</v>
      </c>
      <c r="C301" s="69" t="s">
        <v>221</v>
      </c>
      <c r="H301" s="72"/>
    </row>
    <row r="302" customFormat="false" ht="12.5" hidden="false" customHeight="false" outlineLevel="0" collapsed="false">
      <c r="A302" s="0" t="s">
        <v>510</v>
      </c>
      <c r="B302" s="65" t="n">
        <v>1</v>
      </c>
      <c r="C302" s="69"/>
      <c r="E302" s="72" t="s">
        <v>36</v>
      </c>
    </row>
    <row r="303" customFormat="false" ht="12.5" hidden="false" customHeight="false" outlineLevel="0" collapsed="false">
      <c r="A303" s="0" t="s">
        <v>511</v>
      </c>
      <c r="B303" s="65" t="n">
        <v>1</v>
      </c>
      <c r="C303" s="69"/>
      <c r="E303" s="72" t="s">
        <v>36</v>
      </c>
    </row>
    <row r="304" customFormat="false" ht="12.5" hidden="false" customHeight="false" outlineLevel="0" collapsed="false">
      <c r="A304" s="0" t="s">
        <v>512</v>
      </c>
      <c r="B304" s="65" t="n">
        <v>1</v>
      </c>
      <c r="C304" s="69"/>
      <c r="E304" s="72" t="s">
        <v>36</v>
      </c>
    </row>
    <row r="305" customFormat="false" ht="12.5" hidden="false" customHeight="false" outlineLevel="0" collapsed="false">
      <c r="A305" s="0" t="s">
        <v>513</v>
      </c>
      <c r="B305" s="65" t="n">
        <v>1</v>
      </c>
      <c r="C305" s="69"/>
      <c r="E305" s="72" t="s">
        <v>36</v>
      </c>
    </row>
    <row r="306" customFormat="false" ht="12.5" hidden="false" customHeight="false" outlineLevel="0" collapsed="false">
      <c r="A306" s="0" t="s">
        <v>514</v>
      </c>
      <c r="B306" s="65" t="n">
        <v>1</v>
      </c>
      <c r="C306" s="69"/>
      <c r="E306" s="72" t="s">
        <v>36</v>
      </c>
    </row>
    <row r="307" customFormat="false" ht="12.5" hidden="false" customHeight="false" outlineLevel="0" collapsed="false">
      <c r="A307" s="0" t="s">
        <v>515</v>
      </c>
      <c r="B307" s="65" t="n">
        <v>1</v>
      </c>
      <c r="C307" s="69"/>
      <c r="E307" s="72" t="s">
        <v>36</v>
      </c>
    </row>
    <row r="308" customFormat="false" ht="12.5" hidden="false" customHeight="false" outlineLevel="0" collapsed="false">
      <c r="A308" s="0" t="s">
        <v>516</v>
      </c>
      <c r="B308" s="65" t="n">
        <v>1</v>
      </c>
      <c r="C308" s="69"/>
      <c r="E308" s="72" t="s">
        <v>36</v>
      </c>
    </row>
    <row r="309" customFormat="false" ht="12.5" hidden="true" customHeight="false" outlineLevel="0" collapsed="false">
      <c r="A309" s="0" t="s">
        <v>517</v>
      </c>
      <c r="B309" s="65" t="n">
        <v>1</v>
      </c>
      <c r="C309" s="69" t="s">
        <v>221</v>
      </c>
      <c r="D309" s="0"/>
      <c r="E309" s="0"/>
      <c r="F309" s="0"/>
      <c r="G309" s="0"/>
      <c r="H309" s="0"/>
    </row>
    <row r="310" customFormat="false" ht="12.5" hidden="false" customHeight="false" outlineLevel="0" collapsed="false">
      <c r="A310" s="0" t="s">
        <v>518</v>
      </c>
      <c r="B310" s="65" t="n">
        <v>1</v>
      </c>
      <c r="C310" s="69"/>
      <c r="E310" s="72"/>
      <c r="H310" s="43" t="s">
        <v>36</v>
      </c>
    </row>
    <row r="311" customFormat="false" ht="3" hidden="false" customHeight="true" outlineLevel="0" collapsed="false">
      <c r="C311" s="69"/>
    </row>
    <row r="312" customFormat="false" ht="13" hidden="false" customHeight="false" outlineLevel="0" collapsed="false">
      <c r="A312" s="70" t="s">
        <v>519</v>
      </c>
      <c r="B312" s="73"/>
      <c r="C312" s="74"/>
      <c r="D312" s="42"/>
      <c r="E312" s="42"/>
      <c r="F312" s="42"/>
      <c r="G312" s="42"/>
      <c r="H312" s="42"/>
    </row>
    <row r="313" customFormat="false" ht="12.5" hidden="true" customHeight="false" outlineLevel="0" collapsed="false">
      <c r="A313" s="0" t="s">
        <v>520</v>
      </c>
      <c r="B313" s="65" t="n">
        <v>1</v>
      </c>
      <c r="C313" s="71" t="s">
        <v>221</v>
      </c>
    </row>
    <row r="314" customFormat="false" ht="12.5" hidden="false" customHeight="false" outlineLevel="0" collapsed="false">
      <c r="A314" s="0" t="s">
        <v>521</v>
      </c>
      <c r="B314" s="65" t="n">
        <v>1</v>
      </c>
      <c r="C314" s="69"/>
      <c r="G314" s="72" t="s">
        <v>36</v>
      </c>
    </row>
    <row r="315" customFormat="false" ht="12.5" hidden="false" customHeight="false" outlineLevel="0" collapsed="false">
      <c r="A315" s="0" t="s">
        <v>522</v>
      </c>
      <c r="B315" s="65" t="n">
        <v>1</v>
      </c>
      <c r="C315" s="69"/>
      <c r="G315" s="72" t="s">
        <v>36</v>
      </c>
    </row>
    <row r="316" customFormat="false" ht="12.5" hidden="false" customHeight="false" outlineLevel="0" collapsed="false">
      <c r="A316" s="0" t="s">
        <v>523</v>
      </c>
      <c r="B316" s="65" t="n">
        <v>1</v>
      </c>
      <c r="C316" s="69"/>
      <c r="G316" s="72" t="s">
        <v>36</v>
      </c>
    </row>
    <row r="317" customFormat="false" ht="12.5" hidden="false" customHeight="false" outlineLevel="0" collapsed="false">
      <c r="A317" s="0" t="s">
        <v>524</v>
      </c>
      <c r="B317" s="65" t="n">
        <v>1</v>
      </c>
      <c r="C317" s="69"/>
      <c r="G317" s="72" t="s">
        <v>36</v>
      </c>
    </row>
    <row r="318" customFormat="false" ht="12.5" hidden="false" customHeight="false" outlineLevel="0" collapsed="false">
      <c r="A318" s="0" t="s">
        <v>525</v>
      </c>
      <c r="B318" s="65" t="n">
        <v>1</v>
      </c>
      <c r="C318" s="69"/>
      <c r="G318" s="72" t="s">
        <v>36</v>
      </c>
    </row>
    <row r="319" customFormat="false" ht="12.5" hidden="false" customHeight="false" outlineLevel="0" collapsed="false">
      <c r="A319" s="0" t="s">
        <v>526</v>
      </c>
      <c r="B319" s="65" t="n">
        <v>1</v>
      </c>
      <c r="C319" s="69"/>
      <c r="G319" s="72" t="s">
        <v>36</v>
      </c>
    </row>
    <row r="320" customFormat="false" ht="12.5" hidden="false" customHeight="false" outlineLevel="0" collapsed="false">
      <c r="A320" s="0" t="s">
        <v>527</v>
      </c>
      <c r="B320" s="65" t="n">
        <v>1</v>
      </c>
      <c r="C320" s="69"/>
      <c r="G320" s="72" t="s">
        <v>36</v>
      </c>
    </row>
    <row r="321" customFormat="false" ht="12.5" hidden="false" customHeight="false" outlineLevel="0" collapsed="false">
      <c r="A321" s="0" t="s">
        <v>528</v>
      </c>
      <c r="B321" s="65" t="n">
        <v>1</v>
      </c>
      <c r="C321" s="69"/>
      <c r="G321" s="72" t="s">
        <v>36</v>
      </c>
    </row>
    <row r="322" customFormat="false" ht="12.5" hidden="false" customHeight="false" outlineLevel="0" collapsed="false">
      <c r="A322" s="0" t="s">
        <v>529</v>
      </c>
      <c r="B322" s="65" t="n">
        <v>1</v>
      </c>
      <c r="C322" s="69"/>
      <c r="G322" s="72" t="s">
        <v>36</v>
      </c>
    </row>
    <row r="323" customFormat="false" ht="12.5" hidden="false" customHeight="false" outlineLevel="0" collapsed="false">
      <c r="A323" s="0" t="s">
        <v>530</v>
      </c>
      <c r="B323" s="65" t="n">
        <v>1</v>
      </c>
      <c r="C323" s="69"/>
      <c r="G323" s="72" t="s">
        <v>36</v>
      </c>
    </row>
    <row r="324" customFormat="false" ht="12.5" hidden="false" customHeight="false" outlineLevel="0" collapsed="false">
      <c r="A324" s="0" t="s">
        <v>531</v>
      </c>
      <c r="B324" s="65" t="n">
        <v>1</v>
      </c>
      <c r="C324" s="69"/>
      <c r="G324" s="72" t="s">
        <v>36</v>
      </c>
    </row>
    <row r="325" customFormat="false" ht="12.5" hidden="false" customHeight="false" outlineLevel="0" collapsed="false">
      <c r="A325" s="0" t="s">
        <v>532</v>
      </c>
      <c r="B325" s="65" t="n">
        <v>1</v>
      </c>
      <c r="C325" s="69"/>
      <c r="G325" s="72" t="s">
        <v>36</v>
      </c>
    </row>
    <row r="326" customFormat="false" ht="12.5" hidden="false" customHeight="false" outlineLevel="0" collapsed="false">
      <c r="A326" s="0" t="s">
        <v>533</v>
      </c>
      <c r="B326" s="65" t="n">
        <v>1</v>
      </c>
      <c r="C326" s="69"/>
      <c r="G326" s="72" t="s">
        <v>36</v>
      </c>
    </row>
    <row r="327" customFormat="false" ht="12.5" hidden="false" customHeight="false" outlineLevel="0" collapsed="false">
      <c r="A327" s="0" t="s">
        <v>534</v>
      </c>
      <c r="B327" s="65" t="n">
        <v>1</v>
      </c>
      <c r="C327" s="69"/>
      <c r="G327" s="72" t="s">
        <v>36</v>
      </c>
    </row>
    <row r="328" customFormat="false" ht="12.5" hidden="false" customHeight="false" outlineLevel="0" collapsed="false">
      <c r="A328" s="0" t="s">
        <v>535</v>
      </c>
      <c r="B328" s="65" t="n">
        <v>1</v>
      </c>
      <c r="C328" s="69"/>
      <c r="E328" s="72" t="s">
        <v>36</v>
      </c>
    </row>
    <row r="329" customFormat="false" ht="12.5" hidden="false" customHeight="false" outlineLevel="0" collapsed="false">
      <c r="A329" s="0" t="s">
        <v>536</v>
      </c>
      <c r="B329" s="65" t="n">
        <v>1</v>
      </c>
      <c r="C329" s="69"/>
      <c r="D329" s="72" t="s">
        <v>36</v>
      </c>
    </row>
    <row r="330" customFormat="false" ht="12.5" hidden="true" customHeight="false" outlineLevel="0" collapsed="false">
      <c r="A330" s="0" t="s">
        <v>537</v>
      </c>
      <c r="B330" s="65" t="n">
        <v>1</v>
      </c>
      <c r="C330" s="69" t="s">
        <v>221</v>
      </c>
      <c r="D330" s="0"/>
      <c r="E330" s="0"/>
      <c r="F330" s="0"/>
      <c r="G330" s="0"/>
      <c r="H330" s="0"/>
    </row>
    <row r="331" customFormat="false" ht="12.5" hidden="true" customHeight="false" outlineLevel="0" collapsed="false">
      <c r="A331" s="0" t="s">
        <v>538</v>
      </c>
      <c r="B331" s="65" t="n">
        <v>1</v>
      </c>
      <c r="C331" s="69" t="s">
        <v>221</v>
      </c>
      <c r="D331" s="0"/>
      <c r="E331" s="0"/>
      <c r="F331" s="0"/>
      <c r="G331" s="0"/>
      <c r="H331" s="0"/>
    </row>
    <row r="332" customFormat="false" ht="12.5" hidden="false" customHeight="false" outlineLevel="0" collapsed="false">
      <c r="A332" s="0" t="s">
        <v>539</v>
      </c>
      <c r="B332" s="65" t="n">
        <v>1</v>
      </c>
      <c r="C332" s="69"/>
      <c r="D332" s="72" t="s">
        <v>36</v>
      </c>
    </row>
    <row r="333" customFormat="false" ht="12.5" hidden="false" customHeight="false" outlineLevel="0" collapsed="false">
      <c r="A333" s="0" t="s">
        <v>540</v>
      </c>
      <c r="B333" s="65" t="n">
        <v>1</v>
      </c>
      <c r="C333" s="69"/>
      <c r="E333" s="72" t="s">
        <v>36</v>
      </c>
    </row>
    <row r="334" customFormat="false" ht="12.5" hidden="true" customHeight="false" outlineLevel="0" collapsed="false">
      <c r="A334" s="0" t="s">
        <v>541</v>
      </c>
      <c r="B334" s="65" t="n">
        <v>1</v>
      </c>
      <c r="C334" s="69" t="s">
        <v>221</v>
      </c>
      <c r="D334" s="0"/>
      <c r="E334" s="0"/>
      <c r="F334" s="0"/>
      <c r="G334" s="0"/>
      <c r="H334" s="0"/>
    </row>
    <row r="335" customFormat="false" ht="12.5" hidden="true" customHeight="false" outlineLevel="0" collapsed="false">
      <c r="A335" s="0" t="s">
        <v>542</v>
      </c>
      <c r="B335" s="65" t="n">
        <v>1</v>
      </c>
      <c r="C335" s="69" t="s">
        <v>221</v>
      </c>
      <c r="D335" s="0"/>
      <c r="E335" s="0"/>
      <c r="F335" s="0"/>
      <c r="G335" s="0"/>
      <c r="H335" s="0"/>
    </row>
    <row r="336" customFormat="false" ht="12.5" hidden="true" customHeight="false" outlineLevel="0" collapsed="false">
      <c r="A336" s="0" t="s">
        <v>543</v>
      </c>
      <c r="B336" s="65" t="n">
        <v>1</v>
      </c>
      <c r="C336" s="69" t="s">
        <v>221</v>
      </c>
      <c r="D336" s="0"/>
      <c r="E336" s="0"/>
      <c r="F336" s="0"/>
      <c r="G336" s="0"/>
      <c r="H336" s="0"/>
    </row>
    <row r="337" customFormat="false" ht="12.5" hidden="true" customHeight="false" outlineLevel="0" collapsed="false">
      <c r="A337" s="0" t="s">
        <v>544</v>
      </c>
      <c r="B337" s="65" t="n">
        <v>1</v>
      </c>
      <c r="C337" s="69" t="s">
        <v>221</v>
      </c>
      <c r="D337" s="0"/>
      <c r="E337" s="0"/>
      <c r="F337" s="0"/>
      <c r="G337" s="0"/>
      <c r="H337" s="0"/>
    </row>
    <row r="338" customFormat="false" ht="12.5" hidden="true" customHeight="false" outlineLevel="0" collapsed="false">
      <c r="A338" s="0" t="s">
        <v>545</v>
      </c>
      <c r="B338" s="65" t="n">
        <v>1</v>
      </c>
      <c r="C338" s="69" t="s">
        <v>221</v>
      </c>
      <c r="D338" s="0"/>
      <c r="E338" s="0"/>
      <c r="F338" s="0"/>
      <c r="G338" s="0"/>
      <c r="H338" s="0"/>
    </row>
    <row r="339" customFormat="false" ht="12.5" hidden="true" customHeight="false" outlineLevel="0" collapsed="false">
      <c r="A339" s="0" t="s">
        <v>546</v>
      </c>
      <c r="B339" s="65" t="n">
        <v>1</v>
      </c>
      <c r="C339" s="69" t="s">
        <v>221</v>
      </c>
      <c r="D339" s="0"/>
      <c r="E339" s="0"/>
      <c r="F339" s="0"/>
      <c r="G339" s="0"/>
      <c r="H339" s="0"/>
    </row>
    <row r="340" customFormat="false" ht="12.5" hidden="true" customHeight="false" outlineLevel="0" collapsed="false">
      <c r="A340" s="0" t="s">
        <v>547</v>
      </c>
      <c r="B340" s="65" t="n">
        <v>1</v>
      </c>
      <c r="C340" s="69" t="s">
        <v>221</v>
      </c>
      <c r="D340" s="0"/>
      <c r="E340" s="0"/>
      <c r="F340" s="0"/>
      <c r="G340" s="0"/>
      <c r="H340" s="0"/>
    </row>
    <row r="341" customFormat="false" ht="12.5" hidden="true" customHeight="false" outlineLevel="0" collapsed="false">
      <c r="A341" s="0" t="s">
        <v>548</v>
      </c>
      <c r="B341" s="65" t="n">
        <v>1</v>
      </c>
      <c r="C341" s="69" t="s">
        <v>221</v>
      </c>
      <c r="D341" s="0"/>
      <c r="E341" s="0"/>
      <c r="F341" s="0"/>
      <c r="G341" s="0"/>
      <c r="H341" s="0"/>
    </row>
    <row r="342" customFormat="false" ht="12.5" hidden="false" customHeight="false" outlineLevel="0" collapsed="false">
      <c r="A342" s="0" t="s">
        <v>549</v>
      </c>
      <c r="B342" s="65" t="n">
        <v>1</v>
      </c>
      <c r="C342" s="69"/>
      <c r="E342" s="72" t="s">
        <v>36</v>
      </c>
    </row>
    <row r="343" customFormat="false" ht="12.5" hidden="false" customHeight="false" outlineLevel="0" collapsed="false">
      <c r="A343" s="0" t="s">
        <v>550</v>
      </c>
      <c r="B343" s="65" t="n">
        <v>1</v>
      </c>
      <c r="C343" s="69"/>
      <c r="E343" s="72" t="s">
        <v>36</v>
      </c>
    </row>
    <row r="344" customFormat="false" ht="12.5" hidden="false" customHeight="false" outlineLevel="0" collapsed="false">
      <c r="A344" s="0" t="s">
        <v>551</v>
      </c>
      <c r="B344" s="65" t="n">
        <v>1</v>
      </c>
      <c r="C344" s="69"/>
      <c r="E344" s="72" t="s">
        <v>36</v>
      </c>
    </row>
    <row r="345" customFormat="false" ht="12.5" hidden="false" customHeight="false" outlineLevel="0" collapsed="false">
      <c r="A345" s="0" t="s">
        <v>552</v>
      </c>
      <c r="B345" s="65" t="n">
        <v>1</v>
      </c>
      <c r="C345" s="69"/>
      <c r="E345" s="72" t="s">
        <v>36</v>
      </c>
    </row>
    <row r="346" customFormat="false" ht="12.5" hidden="false" customHeight="false" outlineLevel="0" collapsed="false">
      <c r="A346" s="0" t="s">
        <v>553</v>
      </c>
      <c r="B346" s="65" t="n">
        <v>1</v>
      </c>
      <c r="C346" s="69"/>
      <c r="E346" s="72" t="s">
        <v>36</v>
      </c>
    </row>
    <row r="347" customFormat="false" ht="12.5" hidden="false" customHeight="false" outlineLevel="0" collapsed="false">
      <c r="A347" s="0" t="s">
        <v>554</v>
      </c>
      <c r="B347" s="65" t="n">
        <v>1</v>
      </c>
      <c r="C347" s="69"/>
      <c r="E347" s="72" t="s">
        <v>36</v>
      </c>
    </row>
    <row r="348" customFormat="false" ht="12.5" hidden="false" customHeight="false" outlineLevel="0" collapsed="false">
      <c r="A348" s="0" t="s">
        <v>555</v>
      </c>
      <c r="B348" s="65" t="n">
        <v>1</v>
      </c>
      <c r="C348" s="69"/>
      <c r="E348" s="72" t="s">
        <v>36</v>
      </c>
    </row>
    <row r="349" customFormat="false" ht="12.5" hidden="false" customHeight="false" outlineLevel="0" collapsed="false">
      <c r="A349" s="0" t="s">
        <v>556</v>
      </c>
      <c r="B349" s="65" t="n">
        <v>1</v>
      </c>
      <c r="C349" s="69"/>
      <c r="E349" s="72" t="s">
        <v>36</v>
      </c>
    </row>
    <row r="350" customFormat="false" ht="12.5" hidden="false" customHeight="false" outlineLevel="0" collapsed="false">
      <c r="A350" s="0" t="s">
        <v>557</v>
      </c>
      <c r="B350" s="65" t="n">
        <v>1</v>
      </c>
      <c r="C350" s="69"/>
      <c r="E350" s="72" t="s">
        <v>36</v>
      </c>
    </row>
    <row r="351" customFormat="false" ht="12.5" hidden="false" customHeight="false" outlineLevel="0" collapsed="false">
      <c r="A351" s="0" t="s">
        <v>558</v>
      </c>
      <c r="B351" s="65" t="n">
        <v>1</v>
      </c>
      <c r="C351" s="69"/>
      <c r="E351" s="72" t="s">
        <v>36</v>
      </c>
    </row>
    <row r="352" customFormat="false" ht="12.5" hidden="false" customHeight="false" outlineLevel="0" collapsed="false">
      <c r="A352" s="0" t="s">
        <v>559</v>
      </c>
      <c r="B352" s="65" t="n">
        <v>1</v>
      </c>
      <c r="C352" s="69"/>
      <c r="E352" s="72" t="s">
        <v>36</v>
      </c>
    </row>
    <row r="353" customFormat="false" ht="12.5" hidden="false" customHeight="false" outlineLevel="0" collapsed="false">
      <c r="A353" s="0" t="s">
        <v>560</v>
      </c>
      <c r="B353" s="65" t="n">
        <v>1</v>
      </c>
      <c r="C353" s="69"/>
      <c r="E353" s="72" t="s">
        <v>36</v>
      </c>
    </row>
    <row r="354" customFormat="false" ht="12.5" hidden="false" customHeight="false" outlineLevel="0" collapsed="false">
      <c r="A354" s="0" t="s">
        <v>561</v>
      </c>
      <c r="B354" s="65" t="n">
        <v>1</v>
      </c>
      <c r="C354" s="69"/>
      <c r="E354" s="72" t="s">
        <v>36</v>
      </c>
    </row>
    <row r="355" customFormat="false" ht="12.5" hidden="false" customHeight="false" outlineLevel="0" collapsed="false">
      <c r="A355" s="0" t="s">
        <v>562</v>
      </c>
      <c r="B355" s="65" t="n">
        <v>1</v>
      </c>
      <c r="C355" s="69"/>
      <c r="E355" s="72" t="s">
        <v>36</v>
      </c>
    </row>
    <row r="356" customFormat="false" ht="12.5" hidden="false" customHeight="false" outlineLevel="0" collapsed="false">
      <c r="A356" s="0" t="s">
        <v>563</v>
      </c>
      <c r="B356" s="65" t="n">
        <v>1</v>
      </c>
      <c r="C356" s="69"/>
      <c r="E356" s="72" t="s">
        <v>36</v>
      </c>
    </row>
    <row r="357" customFormat="false" ht="12.5" hidden="false" customHeight="false" outlineLevel="0" collapsed="false">
      <c r="A357" s="0" t="s">
        <v>564</v>
      </c>
      <c r="B357" s="65" t="n">
        <v>1</v>
      </c>
      <c r="C357" s="69"/>
      <c r="E357" s="72" t="s">
        <v>36</v>
      </c>
    </row>
    <row r="358" customFormat="false" ht="12.5" hidden="false" customHeight="false" outlineLevel="0" collapsed="false">
      <c r="A358" s="0" t="s">
        <v>565</v>
      </c>
      <c r="B358" s="65" t="n">
        <v>1</v>
      </c>
      <c r="C358" s="69"/>
      <c r="E358" s="72" t="s">
        <v>36</v>
      </c>
    </row>
    <row r="359" customFormat="false" ht="12.5" hidden="false" customHeight="false" outlineLevel="0" collapsed="false">
      <c r="A359" s="0" t="s">
        <v>566</v>
      </c>
      <c r="B359" s="65" t="n">
        <v>1</v>
      </c>
      <c r="C359" s="69"/>
      <c r="E359" s="72" t="s">
        <v>36</v>
      </c>
    </row>
    <row r="360" customFormat="false" ht="12.5" hidden="true" customHeight="false" outlineLevel="0" collapsed="false">
      <c r="A360" s="0" t="s">
        <v>567</v>
      </c>
      <c r="B360" s="65" t="n">
        <v>1</v>
      </c>
      <c r="C360" s="69" t="s">
        <v>221</v>
      </c>
      <c r="D360" s="0"/>
      <c r="E360" s="0"/>
      <c r="F360" s="0"/>
      <c r="G360" s="0"/>
      <c r="H360" s="0"/>
    </row>
    <row r="361" customFormat="false" ht="12.5" hidden="true" customHeight="false" outlineLevel="0" collapsed="false">
      <c r="A361" s="0" t="s">
        <v>568</v>
      </c>
      <c r="B361" s="65" t="n">
        <v>1</v>
      </c>
      <c r="C361" s="69" t="s">
        <v>221</v>
      </c>
      <c r="D361" s="0"/>
      <c r="E361" s="0"/>
      <c r="F361" s="0"/>
      <c r="G361" s="0"/>
      <c r="H361" s="0"/>
    </row>
    <row r="362" customFormat="false" ht="12.5" hidden="true" customHeight="false" outlineLevel="0" collapsed="false">
      <c r="A362" s="0" t="s">
        <v>569</v>
      </c>
      <c r="B362" s="65" t="n">
        <v>1</v>
      </c>
      <c r="C362" s="69" t="s">
        <v>221</v>
      </c>
      <c r="D362" s="0"/>
      <c r="E362" s="0"/>
      <c r="F362" s="0"/>
      <c r="G362" s="0"/>
      <c r="H362" s="0"/>
    </row>
    <row r="363" customFormat="false" ht="12.5" hidden="true" customHeight="false" outlineLevel="0" collapsed="false">
      <c r="A363" s="0" t="s">
        <v>570</v>
      </c>
      <c r="B363" s="65" t="n">
        <v>1</v>
      </c>
      <c r="C363" s="69" t="s">
        <v>221</v>
      </c>
      <c r="D363" s="0"/>
      <c r="E363" s="0"/>
      <c r="F363" s="0"/>
      <c r="G363" s="0"/>
      <c r="H363" s="0"/>
    </row>
    <row r="364" customFormat="false" ht="12.5" hidden="true" customHeight="false" outlineLevel="0" collapsed="false">
      <c r="A364" s="0" t="s">
        <v>571</v>
      </c>
      <c r="B364" s="65" t="n">
        <v>1</v>
      </c>
      <c r="C364" s="69" t="s">
        <v>221</v>
      </c>
      <c r="D364" s="0"/>
      <c r="E364" s="0"/>
      <c r="F364" s="0"/>
      <c r="G364" s="0"/>
      <c r="H364" s="0"/>
    </row>
    <row r="365" customFormat="false" ht="12.5" hidden="true" customHeight="false" outlineLevel="0" collapsed="false">
      <c r="A365" s="0" t="s">
        <v>572</v>
      </c>
      <c r="B365" s="65" t="n">
        <v>1</v>
      </c>
      <c r="C365" s="69" t="s">
        <v>221</v>
      </c>
      <c r="D365" s="0"/>
      <c r="E365" s="0"/>
      <c r="F365" s="0"/>
      <c r="G365" s="0"/>
      <c r="H365" s="0"/>
    </row>
    <row r="366" customFormat="false" ht="12.5" hidden="true" customHeight="false" outlineLevel="0" collapsed="false">
      <c r="A366" s="0" t="s">
        <v>573</v>
      </c>
      <c r="B366" s="65" t="n">
        <v>1</v>
      </c>
      <c r="C366" s="69" t="s">
        <v>221</v>
      </c>
      <c r="D366" s="0"/>
      <c r="E366" s="0"/>
      <c r="F366" s="0"/>
      <c r="G366" s="0"/>
      <c r="H366" s="0"/>
    </row>
    <row r="367" customFormat="false" ht="12.5" hidden="true" customHeight="false" outlineLevel="0" collapsed="false">
      <c r="A367" s="0" t="s">
        <v>574</v>
      </c>
      <c r="B367" s="65" t="n">
        <v>1</v>
      </c>
      <c r="C367" s="69" t="s">
        <v>221</v>
      </c>
      <c r="D367" s="0"/>
      <c r="E367" s="0"/>
      <c r="F367" s="0"/>
      <c r="G367" s="0"/>
      <c r="H367" s="0"/>
    </row>
    <row r="368" customFormat="false" ht="12.5" hidden="false" customHeight="false" outlineLevel="0" collapsed="false">
      <c r="A368" s="0" t="s">
        <v>575</v>
      </c>
      <c r="B368" s="65" t="n">
        <v>1</v>
      </c>
      <c r="C368" s="69"/>
      <c r="E368" s="72" t="s">
        <v>36</v>
      </c>
    </row>
    <row r="369" customFormat="false" ht="12.5" hidden="true" customHeight="false" outlineLevel="0" collapsed="false">
      <c r="A369" s="0" t="s">
        <v>576</v>
      </c>
      <c r="B369" s="65" t="n">
        <v>1</v>
      </c>
      <c r="C369" s="69" t="s">
        <v>221</v>
      </c>
      <c r="D369" s="0"/>
      <c r="E369" s="0"/>
      <c r="F369" s="0"/>
      <c r="G369" s="0"/>
      <c r="H369" s="0"/>
    </row>
    <row r="370" customFormat="false" ht="12.5" hidden="true" customHeight="false" outlineLevel="0" collapsed="false">
      <c r="A370" s="0" t="s">
        <v>577</v>
      </c>
      <c r="B370" s="65" t="n">
        <v>1</v>
      </c>
      <c r="C370" s="69" t="s">
        <v>221</v>
      </c>
      <c r="D370" s="0"/>
      <c r="E370" s="0"/>
      <c r="F370" s="0"/>
      <c r="G370" s="0"/>
      <c r="H370" s="0"/>
    </row>
    <row r="371" customFormat="false" ht="12.5" hidden="true" customHeight="false" outlineLevel="0" collapsed="false">
      <c r="A371" s="0" t="s">
        <v>578</v>
      </c>
      <c r="B371" s="65" t="n">
        <v>1</v>
      </c>
      <c r="C371" s="69" t="s">
        <v>221</v>
      </c>
      <c r="D371" s="0"/>
      <c r="E371" s="0"/>
      <c r="F371" s="0"/>
      <c r="G371" s="0"/>
      <c r="H371" s="0"/>
    </row>
    <row r="372" customFormat="false" ht="12.5" hidden="true" customHeight="false" outlineLevel="0" collapsed="false">
      <c r="A372" s="0" t="s">
        <v>579</v>
      </c>
      <c r="B372" s="65" t="n">
        <v>1</v>
      </c>
      <c r="C372" s="69" t="s">
        <v>221</v>
      </c>
      <c r="D372" s="0"/>
      <c r="E372" s="0"/>
      <c r="F372" s="0"/>
      <c r="G372" s="0"/>
      <c r="H372" s="0"/>
    </row>
    <row r="373" customFormat="false" ht="12.5" hidden="true" customHeight="false" outlineLevel="0" collapsed="false">
      <c r="A373" s="0" t="s">
        <v>580</v>
      </c>
      <c r="B373" s="65" t="n">
        <v>1</v>
      </c>
      <c r="C373" s="69" t="s">
        <v>221</v>
      </c>
      <c r="D373" s="0"/>
      <c r="E373" s="0"/>
      <c r="F373" s="0"/>
      <c r="G373" s="0"/>
      <c r="H373" s="0"/>
    </row>
    <row r="374" customFormat="false" ht="12.5" hidden="true" customHeight="false" outlineLevel="0" collapsed="false">
      <c r="A374" s="0" t="s">
        <v>581</v>
      </c>
      <c r="B374" s="65" t="n">
        <v>1</v>
      </c>
      <c r="C374" s="69" t="s">
        <v>221</v>
      </c>
      <c r="D374" s="0"/>
      <c r="E374" s="0"/>
      <c r="F374" s="0"/>
      <c r="G374" s="0"/>
      <c r="H374" s="0"/>
    </row>
    <row r="375" customFormat="false" ht="12.5" hidden="false" customHeight="false" outlineLevel="0" collapsed="false">
      <c r="A375" s="0" t="s">
        <v>582</v>
      </c>
      <c r="B375" s="65" t="n">
        <v>1</v>
      </c>
      <c r="C375" s="69"/>
      <c r="F375" s="72" t="s">
        <v>36</v>
      </c>
    </row>
    <row r="376" customFormat="false" ht="12.5" hidden="false" customHeight="false" outlineLevel="0" collapsed="false">
      <c r="A376" s="0" t="s">
        <v>583</v>
      </c>
      <c r="B376" s="65" t="n">
        <v>1</v>
      </c>
      <c r="C376" s="69"/>
      <c r="E376" s="72" t="s">
        <v>36</v>
      </c>
    </row>
    <row r="377" customFormat="false" ht="12.5" hidden="true" customHeight="false" outlineLevel="0" collapsed="false">
      <c r="A377" s="0" t="s">
        <v>584</v>
      </c>
      <c r="B377" s="65" t="n">
        <v>1</v>
      </c>
      <c r="C377" s="69" t="s">
        <v>221</v>
      </c>
      <c r="D377" s="0"/>
      <c r="E377" s="0"/>
      <c r="F377" s="0"/>
      <c r="G377" s="0"/>
      <c r="H377" s="0"/>
    </row>
    <row r="378" customFormat="false" ht="12.5" hidden="false" customHeight="false" outlineLevel="0" collapsed="false">
      <c r="A378" s="0" t="s">
        <v>585</v>
      </c>
      <c r="B378" s="65" t="n">
        <v>1</v>
      </c>
      <c r="C378" s="69"/>
      <c r="D378" s="72" t="s">
        <v>36</v>
      </c>
    </row>
    <row r="379" customFormat="false" ht="12.5" hidden="false" customHeight="false" outlineLevel="0" collapsed="false">
      <c r="A379" s="0" t="s">
        <v>586</v>
      </c>
      <c r="B379" s="65" t="n">
        <v>1</v>
      </c>
      <c r="C379" s="69"/>
      <c r="D379" s="72" t="s">
        <v>36</v>
      </c>
    </row>
    <row r="380" customFormat="false" ht="12.5" hidden="false" customHeight="false" outlineLevel="0" collapsed="false">
      <c r="A380" s="0" t="s">
        <v>587</v>
      </c>
      <c r="B380" s="65" t="n">
        <v>1</v>
      </c>
      <c r="C380" s="69"/>
      <c r="D380" s="72" t="s">
        <v>36</v>
      </c>
    </row>
    <row r="381" customFormat="false" ht="12.5" hidden="false" customHeight="false" outlineLevel="0" collapsed="false">
      <c r="A381" s="0" t="s">
        <v>588</v>
      </c>
      <c r="B381" s="65" t="n">
        <v>1</v>
      </c>
      <c r="C381" s="69"/>
      <c r="D381" s="72" t="s">
        <v>36</v>
      </c>
    </row>
    <row r="382" customFormat="false" ht="12.5" hidden="false" customHeight="false" outlineLevel="0" collapsed="false">
      <c r="A382" s="0" t="s">
        <v>589</v>
      </c>
      <c r="B382" s="65" t="n">
        <v>1</v>
      </c>
      <c r="C382" s="69"/>
      <c r="D382" s="72" t="s">
        <v>36</v>
      </c>
    </row>
    <row r="383" customFormat="false" ht="12.5" hidden="false" customHeight="false" outlineLevel="0" collapsed="false">
      <c r="A383" s="0" t="s">
        <v>590</v>
      </c>
      <c r="B383" s="65" t="n">
        <v>1</v>
      </c>
      <c r="C383" s="69"/>
      <c r="D383" s="72" t="s">
        <v>36</v>
      </c>
    </row>
    <row r="384" customFormat="false" ht="12.5" hidden="false" customHeight="false" outlineLevel="0" collapsed="false">
      <c r="A384" s="0" t="s">
        <v>591</v>
      </c>
      <c r="B384" s="65" t="n">
        <v>1</v>
      </c>
      <c r="C384" s="69"/>
      <c r="D384" s="72" t="s">
        <v>36</v>
      </c>
    </row>
    <row r="385" customFormat="false" ht="12.5" hidden="false" customHeight="false" outlineLevel="0" collapsed="false">
      <c r="A385" s="0" t="s">
        <v>592</v>
      </c>
      <c r="B385" s="65" t="n">
        <v>1</v>
      </c>
      <c r="C385" s="69"/>
      <c r="D385" s="72" t="s">
        <v>36</v>
      </c>
    </row>
    <row r="386" customFormat="false" ht="12.5" hidden="false" customHeight="false" outlineLevel="0" collapsed="false">
      <c r="A386" s="0" t="s">
        <v>593</v>
      </c>
      <c r="B386" s="65" t="n">
        <v>1</v>
      </c>
      <c r="C386" s="69"/>
      <c r="D386" s="72" t="s">
        <v>36</v>
      </c>
    </row>
    <row r="387" customFormat="false" ht="12.5" hidden="false" customHeight="false" outlineLevel="0" collapsed="false">
      <c r="A387" s="0" t="s">
        <v>594</v>
      </c>
      <c r="B387" s="65" t="n">
        <v>1</v>
      </c>
      <c r="C387" s="69"/>
      <c r="D387" s="72" t="s">
        <v>36</v>
      </c>
    </row>
    <row r="388" customFormat="false" ht="12.5" hidden="false" customHeight="false" outlineLevel="0" collapsed="false">
      <c r="A388" s="0" t="s">
        <v>595</v>
      </c>
      <c r="B388" s="65" t="n">
        <v>1</v>
      </c>
      <c r="C388" s="69"/>
      <c r="D388" s="72" t="s">
        <v>36</v>
      </c>
    </row>
    <row r="389" customFormat="false" ht="12.5" hidden="false" customHeight="false" outlineLevel="0" collapsed="false">
      <c r="A389" s="0" t="s">
        <v>596</v>
      </c>
      <c r="B389" s="65" t="n">
        <v>1</v>
      </c>
      <c r="C389" s="69"/>
      <c r="D389" s="72" t="s">
        <v>36</v>
      </c>
    </row>
    <row r="390" customFormat="false" ht="12.5" hidden="false" customHeight="false" outlineLevel="0" collapsed="false">
      <c r="A390" s="0" t="s">
        <v>597</v>
      </c>
      <c r="B390" s="65" t="n">
        <v>1</v>
      </c>
      <c r="C390" s="69"/>
      <c r="D390" s="72" t="s">
        <v>36</v>
      </c>
    </row>
    <row r="391" customFormat="false" ht="12.5" hidden="false" customHeight="false" outlineLevel="0" collapsed="false">
      <c r="A391" s="0" t="s">
        <v>598</v>
      </c>
      <c r="B391" s="65" t="n">
        <v>1</v>
      </c>
      <c r="C391" s="69"/>
      <c r="D391" s="72" t="s">
        <v>36</v>
      </c>
    </row>
    <row r="392" customFormat="false" ht="12.5" hidden="false" customHeight="false" outlineLevel="0" collapsed="false">
      <c r="A392" s="0" t="s">
        <v>599</v>
      </c>
      <c r="B392" s="65" t="n">
        <v>1</v>
      </c>
      <c r="C392" s="69"/>
      <c r="D392" s="72" t="s">
        <v>36</v>
      </c>
    </row>
    <row r="393" customFormat="false" ht="12.5" hidden="false" customHeight="false" outlineLevel="0" collapsed="false">
      <c r="A393" s="0" t="s">
        <v>600</v>
      </c>
      <c r="B393" s="65" t="n">
        <v>1</v>
      </c>
      <c r="C393" s="69"/>
      <c r="D393" s="72" t="s">
        <v>36</v>
      </c>
    </row>
    <row r="394" customFormat="false" ht="12.5" hidden="false" customHeight="false" outlineLevel="0" collapsed="false">
      <c r="A394" s="0" t="s">
        <v>601</v>
      </c>
      <c r="B394" s="65" t="n">
        <v>1</v>
      </c>
      <c r="C394" s="69"/>
      <c r="D394" s="72" t="s">
        <v>36</v>
      </c>
    </row>
    <row r="395" customFormat="false" ht="12.5" hidden="false" customHeight="false" outlineLevel="0" collapsed="false">
      <c r="A395" s="0" t="s">
        <v>602</v>
      </c>
      <c r="B395" s="65" t="n">
        <v>1</v>
      </c>
      <c r="C395" s="69"/>
      <c r="D395" s="72" t="s">
        <v>36</v>
      </c>
    </row>
    <row r="396" customFormat="false" ht="12.5" hidden="true" customHeight="false" outlineLevel="0" collapsed="false">
      <c r="A396" s="0" t="s">
        <v>603</v>
      </c>
      <c r="B396" s="65" t="n">
        <v>1</v>
      </c>
      <c r="C396" s="69" t="s">
        <v>221</v>
      </c>
      <c r="D396" s="0"/>
      <c r="E396" s="0"/>
      <c r="F396" s="0"/>
      <c r="G396" s="0"/>
      <c r="H396" s="0"/>
    </row>
    <row r="397" customFormat="false" ht="12.5" hidden="true" customHeight="false" outlineLevel="0" collapsed="false">
      <c r="A397" s="0" t="s">
        <v>604</v>
      </c>
      <c r="B397" s="65" t="n">
        <v>1</v>
      </c>
      <c r="C397" s="69" t="s">
        <v>221</v>
      </c>
      <c r="D397" s="0"/>
      <c r="E397" s="0"/>
      <c r="F397" s="0"/>
      <c r="G397" s="0"/>
      <c r="H397" s="0"/>
    </row>
    <row r="398" customFormat="false" ht="12.5" hidden="true" customHeight="false" outlineLevel="0" collapsed="false">
      <c r="A398" s="0" t="s">
        <v>605</v>
      </c>
      <c r="B398" s="65" t="n">
        <v>1</v>
      </c>
      <c r="C398" s="69" t="s">
        <v>221</v>
      </c>
      <c r="D398" s="0"/>
      <c r="E398" s="0"/>
      <c r="F398" s="0"/>
      <c r="G398" s="0"/>
      <c r="H398" s="0"/>
    </row>
    <row r="399" customFormat="false" ht="12.5" hidden="false" customHeight="false" outlineLevel="0" collapsed="false">
      <c r="A399" s="0" t="s">
        <v>606</v>
      </c>
      <c r="B399" s="65" t="n">
        <v>1</v>
      </c>
      <c r="C399" s="69"/>
      <c r="F399" s="72" t="s">
        <v>36</v>
      </c>
    </row>
    <row r="400" customFormat="false" ht="12.5" hidden="false" customHeight="false" outlineLevel="0" collapsed="false">
      <c r="A400" s="0" t="s">
        <v>607</v>
      </c>
      <c r="B400" s="65" t="n">
        <v>1</v>
      </c>
      <c r="C400" s="69"/>
      <c r="E400" s="72" t="s">
        <v>36</v>
      </c>
    </row>
    <row r="401" customFormat="false" ht="12.5" hidden="false" customHeight="false" outlineLevel="0" collapsed="false">
      <c r="A401" s="0" t="s">
        <v>608</v>
      </c>
      <c r="B401" s="65" t="n">
        <v>1</v>
      </c>
      <c r="C401" s="69"/>
      <c r="F401" s="72" t="s">
        <v>36</v>
      </c>
    </row>
    <row r="402" customFormat="false" ht="12.5" hidden="true" customHeight="false" outlineLevel="0" collapsed="false">
      <c r="A402" s="0" t="s">
        <v>609</v>
      </c>
      <c r="B402" s="65" t="n">
        <v>1</v>
      </c>
      <c r="C402" s="69" t="s">
        <v>221</v>
      </c>
      <c r="D402" s="0"/>
      <c r="E402" s="0"/>
      <c r="F402" s="0"/>
      <c r="G402" s="0"/>
      <c r="H402" s="0"/>
    </row>
    <row r="403" customFormat="false" ht="12.5" hidden="true" customHeight="false" outlineLevel="0" collapsed="false">
      <c r="A403" s="0" t="s">
        <v>610</v>
      </c>
      <c r="B403" s="65" t="n">
        <v>1</v>
      </c>
      <c r="C403" s="69" t="s">
        <v>221</v>
      </c>
      <c r="D403" s="0"/>
      <c r="E403" s="0"/>
      <c r="F403" s="0"/>
      <c r="G403" s="0"/>
      <c r="H403" s="0"/>
    </row>
    <row r="404" customFormat="false" ht="12.5" hidden="true" customHeight="false" outlineLevel="0" collapsed="false">
      <c r="A404" s="0" t="s">
        <v>611</v>
      </c>
      <c r="B404" s="65" t="n">
        <v>1</v>
      </c>
      <c r="C404" s="69" t="s">
        <v>221</v>
      </c>
      <c r="D404" s="0"/>
      <c r="E404" s="0"/>
      <c r="F404" s="0"/>
      <c r="G404" s="0"/>
      <c r="H404" s="0"/>
    </row>
    <row r="405" customFormat="false" ht="12.5" hidden="true" customHeight="false" outlineLevel="0" collapsed="false">
      <c r="A405" s="0" t="s">
        <v>612</v>
      </c>
      <c r="B405" s="65" t="n">
        <v>1</v>
      </c>
      <c r="C405" s="69" t="s">
        <v>221</v>
      </c>
      <c r="D405" s="0"/>
      <c r="E405" s="0"/>
      <c r="F405" s="0"/>
      <c r="G405" s="0"/>
      <c r="H405" s="0"/>
    </row>
    <row r="406" customFormat="false" ht="12.5" hidden="false" customHeight="false" outlineLevel="0" collapsed="false">
      <c r="A406" s="0" t="s">
        <v>613</v>
      </c>
      <c r="B406" s="65" t="n">
        <v>1</v>
      </c>
      <c r="C406" s="69"/>
      <c r="F406" s="72" t="s">
        <v>36</v>
      </c>
    </row>
    <row r="407" customFormat="false" ht="12.5" hidden="true" customHeight="false" outlineLevel="0" collapsed="false">
      <c r="A407" s="0" t="s">
        <v>614</v>
      </c>
      <c r="B407" s="65" t="n">
        <v>1</v>
      </c>
      <c r="C407" s="69" t="s">
        <v>221</v>
      </c>
      <c r="D407" s="0"/>
      <c r="E407" s="0"/>
      <c r="F407" s="0"/>
      <c r="G407" s="0"/>
      <c r="H407" s="0"/>
    </row>
    <row r="408" customFormat="false" ht="12.5" hidden="true" customHeight="false" outlineLevel="0" collapsed="false">
      <c r="A408" s="0" t="s">
        <v>615</v>
      </c>
      <c r="B408" s="65" t="n">
        <v>1</v>
      </c>
      <c r="C408" s="69" t="s">
        <v>221</v>
      </c>
      <c r="D408" s="0"/>
      <c r="E408" s="0"/>
      <c r="F408" s="0"/>
      <c r="G408" s="0"/>
      <c r="H408" s="0"/>
    </row>
    <row r="409" customFormat="false" ht="12.5" hidden="false" customHeight="false" outlineLevel="0" collapsed="false">
      <c r="A409" s="0" t="s">
        <v>616</v>
      </c>
      <c r="B409" s="65" t="n">
        <v>1</v>
      </c>
      <c r="C409" s="69"/>
      <c r="D409" s="72" t="s">
        <v>36</v>
      </c>
    </row>
    <row r="410" customFormat="false" ht="12.5" hidden="false" customHeight="false" outlineLevel="0" collapsed="false">
      <c r="A410" s="0" t="s">
        <v>617</v>
      </c>
      <c r="B410" s="65" t="n">
        <v>1</v>
      </c>
      <c r="C410" s="69"/>
      <c r="E410" s="72" t="s">
        <v>36</v>
      </c>
    </row>
    <row r="411" customFormat="false" ht="12.5" hidden="true" customHeight="false" outlineLevel="0" collapsed="false">
      <c r="A411" s="0" t="s">
        <v>618</v>
      </c>
      <c r="B411" s="65" t="n">
        <v>1</v>
      </c>
      <c r="C411" s="69" t="s">
        <v>221</v>
      </c>
      <c r="D411" s="0"/>
      <c r="E411" s="0"/>
      <c r="F411" s="0"/>
      <c r="G411" s="0"/>
      <c r="H411" s="0"/>
    </row>
    <row r="412" customFormat="false" ht="12.5" hidden="true" customHeight="false" outlineLevel="0" collapsed="false">
      <c r="A412" s="0" t="s">
        <v>619</v>
      </c>
      <c r="B412" s="65" t="n">
        <v>1</v>
      </c>
      <c r="C412" s="69" t="s">
        <v>221</v>
      </c>
      <c r="D412" s="0"/>
      <c r="E412" s="0"/>
      <c r="F412" s="0"/>
      <c r="G412" s="0"/>
      <c r="H412" s="0"/>
    </row>
    <row r="413" customFormat="false" ht="12.5" hidden="false" customHeight="false" outlineLevel="0" collapsed="false">
      <c r="A413" s="0" t="s">
        <v>620</v>
      </c>
      <c r="B413" s="65" t="n">
        <v>1</v>
      </c>
      <c r="C413" s="69"/>
      <c r="D413" s="72" t="s">
        <v>36</v>
      </c>
      <c r="E413" s="72"/>
    </row>
    <row r="414" customFormat="false" ht="12.5" hidden="false" customHeight="false" outlineLevel="0" collapsed="false">
      <c r="A414" s="0" t="s">
        <v>621</v>
      </c>
      <c r="B414" s="65" t="n">
        <v>1</v>
      </c>
      <c r="C414" s="69"/>
      <c r="D414" s="72" t="s">
        <v>36</v>
      </c>
      <c r="E414" s="72"/>
    </row>
    <row r="415" customFormat="false" ht="12.5" hidden="false" customHeight="false" outlineLevel="0" collapsed="false">
      <c r="A415" s="0" t="s">
        <v>622</v>
      </c>
      <c r="B415" s="65" t="n">
        <v>1</v>
      </c>
      <c r="C415" s="69"/>
      <c r="D415" s="72" t="s">
        <v>36</v>
      </c>
      <c r="E415" s="72"/>
    </row>
    <row r="416" customFormat="false" ht="12.5" hidden="false" customHeight="false" outlineLevel="0" collapsed="false">
      <c r="A416" s="0" t="s">
        <v>623</v>
      </c>
      <c r="B416" s="65" t="n">
        <v>1</v>
      </c>
      <c r="C416" s="69"/>
      <c r="D416" s="72" t="s">
        <v>36</v>
      </c>
      <c r="E416" s="72"/>
    </row>
    <row r="417" customFormat="false" ht="12.5" hidden="false" customHeight="false" outlineLevel="0" collapsed="false">
      <c r="A417" s="0" t="s">
        <v>624</v>
      </c>
      <c r="B417" s="65" t="n">
        <v>1</v>
      </c>
      <c r="C417" s="69"/>
      <c r="D417" s="72" t="s">
        <v>36</v>
      </c>
      <c r="E417" s="72"/>
    </row>
    <row r="418" customFormat="false" ht="12.5" hidden="false" customHeight="false" outlineLevel="0" collapsed="false">
      <c r="A418" s="0" t="s">
        <v>625</v>
      </c>
      <c r="B418" s="65" t="n">
        <v>1</v>
      </c>
      <c r="C418" s="69"/>
      <c r="D418" s="72" t="s">
        <v>36</v>
      </c>
      <c r="E418" s="72"/>
    </row>
    <row r="419" customFormat="false" ht="12.5" hidden="true" customHeight="false" outlineLevel="0" collapsed="false">
      <c r="A419" s="0" t="s">
        <v>626</v>
      </c>
      <c r="B419" s="65" t="n">
        <v>1</v>
      </c>
      <c r="C419" s="69" t="s">
        <v>221</v>
      </c>
      <c r="D419" s="0"/>
      <c r="E419" s="0"/>
      <c r="F419" s="0"/>
      <c r="G419" s="0"/>
      <c r="H419" s="0"/>
    </row>
    <row r="420" customFormat="false" ht="12.5" hidden="false" customHeight="false" outlineLevel="0" collapsed="false">
      <c r="A420" s="0" t="s">
        <v>627</v>
      </c>
      <c r="B420" s="65" t="n">
        <v>1</v>
      </c>
      <c r="C420" s="69"/>
      <c r="D420" s="72" t="s">
        <v>36</v>
      </c>
    </row>
    <row r="421" customFormat="false" ht="12.5" hidden="true" customHeight="false" outlineLevel="0" collapsed="false">
      <c r="A421" s="0" t="s">
        <v>628</v>
      </c>
      <c r="B421" s="65" t="n">
        <v>1</v>
      </c>
      <c r="C421" s="69" t="s">
        <v>221</v>
      </c>
      <c r="D421" s="0"/>
      <c r="E421" s="0"/>
      <c r="F421" s="0"/>
      <c r="G421" s="0"/>
      <c r="H421" s="0"/>
    </row>
    <row r="422" customFormat="false" ht="12.5" hidden="true" customHeight="false" outlineLevel="0" collapsed="false">
      <c r="A422" s="0" t="s">
        <v>629</v>
      </c>
      <c r="B422" s="65" t="n">
        <v>1</v>
      </c>
      <c r="C422" s="69" t="s">
        <v>221</v>
      </c>
      <c r="D422" s="0"/>
      <c r="E422" s="0"/>
      <c r="F422" s="0"/>
      <c r="G422" s="0"/>
      <c r="H422" s="0"/>
    </row>
    <row r="423" customFormat="false" ht="12.5" hidden="true" customHeight="false" outlineLevel="0" collapsed="false">
      <c r="A423" s="0" t="s">
        <v>630</v>
      </c>
      <c r="B423" s="65" t="n">
        <v>1</v>
      </c>
      <c r="C423" s="69" t="s">
        <v>221</v>
      </c>
      <c r="D423" s="0"/>
      <c r="E423" s="0"/>
      <c r="F423" s="0"/>
      <c r="G423" s="0"/>
      <c r="H423" s="0"/>
    </row>
    <row r="424" customFormat="false" ht="12.5" hidden="true" customHeight="false" outlineLevel="0" collapsed="false">
      <c r="A424" s="0" t="s">
        <v>631</v>
      </c>
      <c r="B424" s="65" t="n">
        <v>1</v>
      </c>
      <c r="C424" s="69" t="s">
        <v>221</v>
      </c>
      <c r="D424" s="0"/>
      <c r="E424" s="0"/>
      <c r="F424" s="0"/>
      <c r="G424" s="0"/>
      <c r="H424" s="0"/>
    </row>
    <row r="425" customFormat="false" ht="12.5" hidden="false" customHeight="false" outlineLevel="0" collapsed="false">
      <c r="A425" s="0" t="s">
        <v>632</v>
      </c>
      <c r="B425" s="65" t="n">
        <v>1</v>
      </c>
      <c r="C425" s="69"/>
      <c r="D425" s="72" t="s">
        <v>36</v>
      </c>
    </row>
    <row r="426" customFormat="false" ht="12.5" hidden="false" customHeight="false" outlineLevel="0" collapsed="false">
      <c r="A426" s="0" t="s">
        <v>633</v>
      </c>
      <c r="B426" s="65" t="n">
        <v>1</v>
      </c>
      <c r="C426" s="69"/>
      <c r="D426" s="72" t="s">
        <v>36</v>
      </c>
    </row>
    <row r="427" customFormat="false" ht="12.5" hidden="true" customHeight="false" outlineLevel="0" collapsed="false">
      <c r="A427" s="0" t="s">
        <v>634</v>
      </c>
      <c r="B427" s="65" t="n">
        <v>1</v>
      </c>
      <c r="C427" s="69" t="s">
        <v>221</v>
      </c>
      <c r="D427" s="0"/>
      <c r="E427" s="0"/>
      <c r="F427" s="0"/>
      <c r="G427" s="0"/>
      <c r="H427" s="0"/>
    </row>
    <row r="428" customFormat="false" ht="12.5" hidden="false" customHeight="false" outlineLevel="0" collapsed="false">
      <c r="A428" s="0" t="s">
        <v>635</v>
      </c>
      <c r="B428" s="65" t="n">
        <v>1</v>
      </c>
      <c r="C428" s="69"/>
      <c r="D428" s="72" t="s">
        <v>36</v>
      </c>
    </row>
    <row r="429" customFormat="false" ht="5" hidden="false" customHeight="true" outlineLevel="0" collapsed="false">
      <c r="C429" s="69"/>
    </row>
    <row r="430" customFormat="false" ht="13" hidden="false" customHeight="false" outlineLevel="0" collapsed="false">
      <c r="A430" s="70" t="s">
        <v>636</v>
      </c>
      <c r="B430" s="73"/>
      <c r="C430" s="74"/>
      <c r="D430" s="42"/>
      <c r="E430" s="42"/>
      <c r="F430" s="42"/>
      <c r="G430" s="42"/>
      <c r="H430" s="42"/>
    </row>
    <row r="431" customFormat="false" ht="12.5" hidden="true" customHeight="false" outlineLevel="0" collapsed="false">
      <c r="A431" s="0" t="s">
        <v>637</v>
      </c>
      <c r="B431" s="65" t="n">
        <v>1</v>
      </c>
      <c r="C431" s="69" t="s">
        <v>221</v>
      </c>
      <c r="D431" s="0"/>
      <c r="E431" s="0"/>
      <c r="F431" s="0"/>
      <c r="G431" s="0"/>
      <c r="H431" s="0"/>
    </row>
    <row r="432" customFormat="false" ht="12.5" hidden="true" customHeight="false" outlineLevel="0" collapsed="false">
      <c r="A432" s="0" t="s">
        <v>638</v>
      </c>
      <c r="B432" s="65" t="n">
        <v>1</v>
      </c>
      <c r="C432" s="69" t="s">
        <v>221</v>
      </c>
      <c r="D432" s="0"/>
      <c r="E432" s="0"/>
      <c r="F432" s="0"/>
      <c r="G432" s="0"/>
      <c r="H432" s="0"/>
    </row>
    <row r="433" customFormat="false" ht="12.5" hidden="false" customHeight="false" outlineLevel="0" collapsed="false">
      <c r="A433" s="0" t="s">
        <v>639</v>
      </c>
      <c r="B433" s="65" t="n">
        <v>1</v>
      </c>
      <c r="C433" s="69"/>
      <c r="E433" s="72" t="s">
        <v>36</v>
      </c>
    </row>
    <row r="434" customFormat="false" ht="12.5" hidden="true" customHeight="false" outlineLevel="0" collapsed="false">
      <c r="A434" s="0" t="s">
        <v>640</v>
      </c>
      <c r="B434" s="65" t="n">
        <v>1</v>
      </c>
      <c r="C434" s="69" t="s">
        <v>221</v>
      </c>
      <c r="D434" s="0"/>
      <c r="E434" s="0"/>
      <c r="F434" s="0"/>
      <c r="G434" s="0"/>
      <c r="H434" s="0"/>
    </row>
    <row r="435" customFormat="false" ht="12.5" hidden="true" customHeight="false" outlineLevel="0" collapsed="false">
      <c r="A435" s="0" t="s">
        <v>641</v>
      </c>
      <c r="B435" s="65" t="n">
        <v>1</v>
      </c>
      <c r="C435" s="69" t="s">
        <v>221</v>
      </c>
      <c r="D435" s="0"/>
      <c r="E435" s="0"/>
      <c r="F435" s="0"/>
      <c r="G435" s="0"/>
      <c r="H435" s="0"/>
    </row>
    <row r="436" customFormat="false" ht="12.5" hidden="true" customHeight="false" outlineLevel="0" collapsed="false">
      <c r="A436" s="0" t="s">
        <v>642</v>
      </c>
      <c r="B436" s="65" t="n">
        <v>1</v>
      </c>
      <c r="C436" s="69" t="s">
        <v>221</v>
      </c>
      <c r="D436" s="0"/>
      <c r="E436" s="0"/>
      <c r="F436" s="0"/>
      <c r="G436" s="0"/>
      <c r="H436" s="0"/>
    </row>
    <row r="437" customFormat="false" ht="12.5" hidden="true" customHeight="false" outlineLevel="0" collapsed="false">
      <c r="A437" s="0" t="s">
        <v>643</v>
      </c>
      <c r="B437" s="65" t="n">
        <v>1</v>
      </c>
      <c r="C437" s="71" t="s">
        <v>221</v>
      </c>
    </row>
    <row r="438" customFormat="false" ht="12.5" hidden="false" customHeight="false" outlineLevel="0" collapsed="false">
      <c r="A438" s="0" t="s">
        <v>644</v>
      </c>
      <c r="B438" s="65" t="n">
        <v>1</v>
      </c>
      <c r="C438" s="69"/>
      <c r="E438" s="72" t="s">
        <v>36</v>
      </c>
    </row>
    <row r="439" customFormat="false" ht="12.5" hidden="false" customHeight="false" outlineLevel="0" collapsed="false">
      <c r="A439" s="0" t="s">
        <v>645</v>
      </c>
      <c r="B439" s="65" t="n">
        <v>1</v>
      </c>
      <c r="C439" s="69"/>
      <c r="D439" s="72" t="s">
        <v>36</v>
      </c>
      <c r="E439" s="72"/>
    </row>
    <row r="440" customFormat="false" ht="12.5" hidden="true" customHeight="false" outlineLevel="0" collapsed="false">
      <c r="A440" s="0" t="s">
        <v>646</v>
      </c>
      <c r="B440" s="65" t="n">
        <v>1</v>
      </c>
      <c r="C440" s="69" t="s">
        <v>221</v>
      </c>
      <c r="D440" s="0"/>
      <c r="E440" s="0"/>
      <c r="F440" s="0"/>
      <c r="G440" s="0"/>
      <c r="H440" s="0"/>
    </row>
    <row r="441" customFormat="false" ht="12.5" hidden="true" customHeight="false" outlineLevel="0" collapsed="false">
      <c r="A441" s="0" t="s">
        <v>647</v>
      </c>
      <c r="B441" s="65" t="n">
        <v>1</v>
      </c>
      <c r="C441" s="69" t="s">
        <v>221</v>
      </c>
      <c r="D441" s="0"/>
      <c r="E441" s="0"/>
      <c r="F441" s="0"/>
      <c r="G441" s="0"/>
      <c r="H441" s="0"/>
    </row>
    <row r="442" customFormat="false" ht="12.5" hidden="true" customHeight="false" outlineLevel="0" collapsed="false">
      <c r="A442" s="0" t="s">
        <v>648</v>
      </c>
      <c r="B442" s="65" t="n">
        <v>1</v>
      </c>
      <c r="C442" s="69" t="s">
        <v>221</v>
      </c>
      <c r="D442" s="0"/>
      <c r="E442" s="0"/>
      <c r="F442" s="0"/>
      <c r="G442" s="0"/>
      <c r="H442" s="0"/>
    </row>
    <row r="443" customFormat="false" ht="12.5" hidden="false" customHeight="false" outlineLevel="0" collapsed="false">
      <c r="A443" s="0" t="s">
        <v>649</v>
      </c>
      <c r="B443" s="65" t="n">
        <v>1</v>
      </c>
      <c r="C443" s="69"/>
      <c r="G443" s="72" t="s">
        <v>36</v>
      </c>
    </row>
    <row r="444" customFormat="false" ht="12.5" hidden="false" customHeight="false" outlineLevel="0" collapsed="false">
      <c r="A444" s="0" t="s">
        <v>650</v>
      </c>
      <c r="B444" s="65" t="n">
        <v>1</v>
      </c>
      <c r="C444" s="69"/>
      <c r="E444" s="72" t="s">
        <v>36</v>
      </c>
    </row>
    <row r="445" customFormat="false" ht="12.5" hidden="true" customHeight="false" outlineLevel="0" collapsed="false">
      <c r="A445" s="0" t="s">
        <v>651</v>
      </c>
      <c r="B445" s="65" t="n">
        <v>1</v>
      </c>
      <c r="C445" s="69" t="s">
        <v>221</v>
      </c>
      <c r="D445" s="0"/>
      <c r="E445" s="0"/>
      <c r="F445" s="0"/>
      <c r="G445" s="0"/>
      <c r="H445" s="0"/>
    </row>
    <row r="446" customFormat="false" ht="12.5" hidden="true" customHeight="false" outlineLevel="0" collapsed="false">
      <c r="A446" s="0" t="s">
        <v>652</v>
      </c>
      <c r="B446" s="65" t="n">
        <v>1</v>
      </c>
      <c r="C446" s="69" t="s">
        <v>221</v>
      </c>
      <c r="D446" s="0"/>
      <c r="E446" s="0"/>
      <c r="F446" s="0"/>
      <c r="G446" s="0"/>
      <c r="H446" s="0"/>
    </row>
    <row r="447" customFormat="false" ht="12.5" hidden="true" customHeight="false" outlineLevel="0" collapsed="false">
      <c r="A447" s="0" t="s">
        <v>653</v>
      </c>
      <c r="B447" s="65" t="n">
        <v>1</v>
      </c>
      <c r="C447" s="69" t="s">
        <v>221</v>
      </c>
      <c r="D447" s="0"/>
      <c r="E447" s="0"/>
      <c r="F447" s="0"/>
      <c r="G447" s="0"/>
      <c r="H447" s="0"/>
    </row>
    <row r="448" customFormat="false" ht="12.5" hidden="true" customHeight="false" outlineLevel="0" collapsed="false">
      <c r="A448" s="0" t="s">
        <v>654</v>
      </c>
      <c r="B448" s="65" t="n">
        <v>1</v>
      </c>
      <c r="C448" s="69" t="s">
        <v>221</v>
      </c>
      <c r="D448" s="0"/>
      <c r="E448" s="0"/>
      <c r="F448" s="0"/>
      <c r="G448" s="0"/>
      <c r="H448" s="0"/>
    </row>
    <row r="449" customFormat="false" ht="12.5" hidden="true" customHeight="false" outlineLevel="0" collapsed="false">
      <c r="A449" s="0" t="s">
        <v>655</v>
      </c>
      <c r="B449" s="65" t="n">
        <v>1</v>
      </c>
      <c r="C449" s="69" t="s">
        <v>221</v>
      </c>
      <c r="D449" s="0"/>
      <c r="E449" s="0"/>
      <c r="F449" s="0"/>
      <c r="G449" s="0"/>
      <c r="H449" s="0"/>
    </row>
    <row r="450" customFormat="false" ht="12.5" hidden="true" customHeight="false" outlineLevel="0" collapsed="false">
      <c r="A450" s="0" t="s">
        <v>656</v>
      </c>
      <c r="B450" s="65" t="n">
        <v>1</v>
      </c>
      <c r="C450" s="69" t="s">
        <v>221</v>
      </c>
      <c r="D450" s="0"/>
      <c r="E450" s="0"/>
      <c r="F450" s="0"/>
      <c r="G450" s="0"/>
      <c r="H450" s="0"/>
    </row>
    <row r="451" customFormat="false" ht="12.5" hidden="true" customHeight="false" outlineLevel="0" collapsed="false">
      <c r="A451" s="0" t="s">
        <v>657</v>
      </c>
      <c r="B451" s="65" t="n">
        <v>1</v>
      </c>
      <c r="C451" s="69" t="s">
        <v>221</v>
      </c>
      <c r="D451" s="0"/>
      <c r="E451" s="0"/>
      <c r="F451" s="0"/>
      <c r="G451" s="0"/>
      <c r="H451" s="0"/>
    </row>
    <row r="452" customFormat="false" ht="12.5" hidden="true" customHeight="false" outlineLevel="0" collapsed="false">
      <c r="A452" s="0" t="s">
        <v>658</v>
      </c>
      <c r="B452" s="65" t="n">
        <v>1</v>
      </c>
      <c r="C452" s="69" t="s">
        <v>221</v>
      </c>
      <c r="D452" s="0"/>
      <c r="E452" s="0"/>
      <c r="F452" s="0"/>
      <c r="G452" s="0"/>
      <c r="H452" s="0"/>
    </row>
    <row r="453" customFormat="false" ht="12.5" hidden="true" customHeight="false" outlineLevel="0" collapsed="false">
      <c r="A453" s="0" t="s">
        <v>659</v>
      </c>
      <c r="B453" s="65" t="n">
        <v>1</v>
      </c>
      <c r="C453" s="69" t="s">
        <v>221</v>
      </c>
      <c r="D453" s="0"/>
      <c r="E453" s="0"/>
      <c r="F453" s="0"/>
      <c r="G453" s="0"/>
      <c r="H453" s="0"/>
    </row>
    <row r="454" customFormat="false" ht="12.5" hidden="true" customHeight="false" outlineLevel="0" collapsed="false">
      <c r="A454" s="0" t="s">
        <v>660</v>
      </c>
      <c r="B454" s="65" t="n">
        <v>1</v>
      </c>
      <c r="C454" s="69" t="s">
        <v>221</v>
      </c>
      <c r="D454" s="0"/>
      <c r="E454" s="0"/>
      <c r="F454" s="0"/>
      <c r="G454" s="0"/>
      <c r="H454" s="0"/>
    </row>
    <row r="455" customFormat="false" ht="12.5" hidden="true" customHeight="false" outlineLevel="0" collapsed="false">
      <c r="A455" s="0" t="s">
        <v>661</v>
      </c>
      <c r="B455" s="65" t="n">
        <v>1</v>
      </c>
      <c r="C455" s="69" t="s">
        <v>221</v>
      </c>
      <c r="D455" s="0"/>
      <c r="E455" s="0"/>
      <c r="F455" s="0"/>
      <c r="G455" s="0"/>
      <c r="H455" s="0"/>
    </row>
    <row r="456" customFormat="false" ht="12.5" hidden="false" customHeight="false" outlineLevel="0" collapsed="false">
      <c r="A456" s="0" t="s">
        <v>662</v>
      </c>
      <c r="B456" s="65" t="n">
        <v>1</v>
      </c>
      <c r="C456" s="69"/>
      <c r="G456" s="72" t="s">
        <v>36</v>
      </c>
    </row>
    <row r="457" customFormat="false" ht="12.5" hidden="true" customHeight="false" outlineLevel="0" collapsed="false">
      <c r="A457" s="0" t="s">
        <v>663</v>
      </c>
      <c r="B457" s="65" t="n">
        <v>1</v>
      </c>
      <c r="C457" s="69" t="s">
        <v>221</v>
      </c>
      <c r="D457" s="0"/>
      <c r="E457" s="0"/>
      <c r="F457" s="0"/>
      <c r="G457" s="0"/>
      <c r="H457" s="0"/>
    </row>
    <row r="458" customFormat="false" ht="12.5" hidden="true" customHeight="false" outlineLevel="0" collapsed="false">
      <c r="A458" s="0" t="s">
        <v>664</v>
      </c>
      <c r="B458" s="65" t="n">
        <v>1</v>
      </c>
      <c r="C458" s="69" t="s">
        <v>221</v>
      </c>
      <c r="D458" s="0"/>
      <c r="E458" s="0"/>
      <c r="F458" s="0"/>
      <c r="G458" s="0"/>
      <c r="H458" s="0"/>
    </row>
    <row r="459" customFormat="false" ht="12.5" hidden="true" customHeight="false" outlineLevel="0" collapsed="false">
      <c r="A459" s="0" t="s">
        <v>665</v>
      </c>
      <c r="B459" s="65" t="n">
        <v>1</v>
      </c>
      <c r="C459" s="69" t="s">
        <v>221</v>
      </c>
      <c r="D459" s="0"/>
      <c r="E459" s="0"/>
      <c r="F459" s="0"/>
      <c r="G459" s="0"/>
      <c r="H459" s="0"/>
    </row>
    <row r="460" customFormat="false" ht="12.5" hidden="false" customHeight="false" outlineLevel="0" collapsed="false">
      <c r="A460" s="0" t="s">
        <v>666</v>
      </c>
      <c r="B460" s="65" t="n">
        <v>1</v>
      </c>
      <c r="C460" s="69"/>
      <c r="G460" s="72" t="s">
        <v>36</v>
      </c>
    </row>
    <row r="461" customFormat="false" ht="12.5" hidden="true" customHeight="false" outlineLevel="0" collapsed="false">
      <c r="A461" s="0" t="s">
        <v>667</v>
      </c>
      <c r="B461" s="65" t="n">
        <v>1</v>
      </c>
      <c r="C461" s="69" t="s">
        <v>221</v>
      </c>
      <c r="D461" s="0"/>
      <c r="E461" s="0"/>
      <c r="F461" s="0"/>
      <c r="G461" s="0"/>
      <c r="H461" s="0"/>
    </row>
    <row r="462" customFormat="false" ht="12.5" hidden="true" customHeight="false" outlineLevel="0" collapsed="false">
      <c r="A462" s="0" t="s">
        <v>668</v>
      </c>
      <c r="B462" s="65" t="n">
        <v>1</v>
      </c>
      <c r="C462" s="69" t="s">
        <v>221</v>
      </c>
      <c r="D462" s="0"/>
      <c r="E462" s="0"/>
      <c r="F462" s="0"/>
      <c r="G462" s="0"/>
      <c r="H462" s="0"/>
    </row>
    <row r="463" customFormat="false" ht="12.5" hidden="true" customHeight="false" outlineLevel="0" collapsed="false">
      <c r="A463" s="0" t="s">
        <v>669</v>
      </c>
      <c r="B463" s="65" t="n">
        <v>1</v>
      </c>
      <c r="C463" s="69" t="s">
        <v>221</v>
      </c>
      <c r="D463" s="0"/>
      <c r="E463" s="0"/>
      <c r="F463" s="0"/>
      <c r="G463" s="0"/>
      <c r="H463" s="0"/>
    </row>
    <row r="464" customFormat="false" ht="12.5" hidden="true" customHeight="false" outlineLevel="0" collapsed="false">
      <c r="A464" s="0" t="s">
        <v>670</v>
      </c>
      <c r="B464" s="65" t="n">
        <v>1</v>
      </c>
      <c r="C464" s="69" t="s">
        <v>221</v>
      </c>
      <c r="D464" s="0"/>
      <c r="E464" s="0"/>
      <c r="F464" s="0"/>
      <c r="G464" s="0"/>
      <c r="H464" s="0"/>
    </row>
    <row r="465" customFormat="false" ht="12.5" hidden="true" customHeight="false" outlineLevel="0" collapsed="false">
      <c r="A465" s="0" t="s">
        <v>671</v>
      </c>
      <c r="B465" s="65" t="n">
        <v>1</v>
      </c>
      <c r="C465" s="69" t="s">
        <v>221</v>
      </c>
      <c r="D465" s="0"/>
      <c r="E465" s="0"/>
      <c r="F465" s="0"/>
      <c r="G465" s="0"/>
      <c r="H465" s="0"/>
    </row>
    <row r="466" customFormat="false" ht="12.5" hidden="true" customHeight="false" outlineLevel="0" collapsed="false">
      <c r="A466" s="0" t="s">
        <v>672</v>
      </c>
      <c r="B466" s="65" t="n">
        <v>1</v>
      </c>
      <c r="C466" s="69" t="s">
        <v>221</v>
      </c>
      <c r="D466" s="0"/>
      <c r="E466" s="0"/>
      <c r="F466" s="0"/>
      <c r="G466" s="0"/>
      <c r="H466" s="0"/>
    </row>
    <row r="467" customFormat="false" ht="12.5" hidden="true" customHeight="false" outlineLevel="0" collapsed="false">
      <c r="A467" s="0" t="s">
        <v>673</v>
      </c>
      <c r="B467" s="65" t="n">
        <v>1</v>
      </c>
      <c r="C467" s="69" t="s">
        <v>221</v>
      </c>
      <c r="D467" s="0"/>
      <c r="E467" s="0"/>
      <c r="F467" s="0"/>
      <c r="G467" s="0"/>
      <c r="H467" s="0"/>
    </row>
    <row r="468" customFormat="false" ht="12.5" hidden="true" customHeight="false" outlineLevel="0" collapsed="false">
      <c r="A468" s="0" t="s">
        <v>674</v>
      </c>
      <c r="B468" s="65" t="n">
        <v>1</v>
      </c>
      <c r="C468" s="69" t="s">
        <v>221</v>
      </c>
      <c r="D468" s="0"/>
      <c r="E468" s="0"/>
      <c r="F468" s="0"/>
      <c r="G468" s="0"/>
      <c r="H468" s="0"/>
    </row>
    <row r="469" customFormat="false" ht="12.5" hidden="true" customHeight="false" outlineLevel="0" collapsed="false">
      <c r="A469" s="0" t="s">
        <v>675</v>
      </c>
      <c r="B469" s="65" t="n">
        <v>1</v>
      </c>
      <c r="C469" s="69" t="s">
        <v>221</v>
      </c>
      <c r="D469" s="0"/>
      <c r="E469" s="0"/>
      <c r="F469" s="0"/>
      <c r="G469" s="0"/>
      <c r="H469" s="0"/>
    </row>
    <row r="470" customFormat="false" ht="12.5" hidden="true" customHeight="false" outlineLevel="0" collapsed="false">
      <c r="A470" s="0" t="s">
        <v>676</v>
      </c>
      <c r="B470" s="65" t="n">
        <v>1</v>
      </c>
      <c r="C470" s="69" t="s">
        <v>221</v>
      </c>
      <c r="D470" s="0"/>
      <c r="E470" s="0"/>
      <c r="F470" s="0"/>
      <c r="G470" s="0"/>
      <c r="H470" s="0"/>
    </row>
    <row r="471" customFormat="false" ht="12.5" hidden="true" customHeight="false" outlineLevel="0" collapsed="false">
      <c r="A471" s="0" t="s">
        <v>677</v>
      </c>
      <c r="B471" s="65" t="n">
        <v>1</v>
      </c>
      <c r="C471" s="69" t="s">
        <v>221</v>
      </c>
      <c r="D471" s="0"/>
      <c r="E471" s="0"/>
      <c r="F471" s="0"/>
      <c r="G471" s="0"/>
      <c r="H471" s="0"/>
    </row>
    <row r="472" customFormat="false" ht="12.5" hidden="true" customHeight="false" outlineLevel="0" collapsed="false">
      <c r="A472" s="0" t="s">
        <v>678</v>
      </c>
      <c r="B472" s="65" t="n">
        <v>1</v>
      </c>
      <c r="C472" s="69" t="s">
        <v>221</v>
      </c>
      <c r="D472" s="0"/>
      <c r="E472" s="0"/>
      <c r="F472" s="0"/>
      <c r="G472" s="0"/>
      <c r="H472" s="0"/>
    </row>
    <row r="473" customFormat="false" ht="12.5" hidden="true" customHeight="false" outlineLevel="0" collapsed="false">
      <c r="A473" s="0" t="s">
        <v>679</v>
      </c>
      <c r="B473" s="65" t="n">
        <v>1</v>
      </c>
      <c r="C473" s="69" t="s">
        <v>221</v>
      </c>
      <c r="D473" s="0"/>
      <c r="E473" s="0"/>
      <c r="F473" s="0"/>
      <c r="G473" s="0"/>
      <c r="H473" s="0"/>
    </row>
    <row r="474" customFormat="false" ht="12.5" hidden="true" customHeight="false" outlineLevel="0" collapsed="false">
      <c r="A474" s="0" t="s">
        <v>680</v>
      </c>
      <c r="B474" s="65" t="n">
        <v>1</v>
      </c>
      <c r="C474" s="69" t="s">
        <v>221</v>
      </c>
      <c r="D474" s="0"/>
      <c r="E474" s="0"/>
      <c r="F474" s="0"/>
      <c r="G474" s="0"/>
      <c r="H474" s="0"/>
    </row>
    <row r="475" customFormat="false" ht="12.5" hidden="true" customHeight="false" outlineLevel="0" collapsed="false">
      <c r="A475" s="0" t="s">
        <v>681</v>
      </c>
      <c r="B475" s="65" t="n">
        <v>1</v>
      </c>
      <c r="C475" s="69" t="s">
        <v>221</v>
      </c>
      <c r="D475" s="0"/>
      <c r="E475" s="0"/>
      <c r="F475" s="0"/>
      <c r="G475" s="0"/>
      <c r="H475" s="0"/>
    </row>
    <row r="476" customFormat="false" ht="12.5" hidden="true" customHeight="false" outlineLevel="0" collapsed="false">
      <c r="A476" s="0" t="s">
        <v>682</v>
      </c>
      <c r="B476" s="65" t="n">
        <v>1</v>
      </c>
      <c r="C476" s="69" t="s">
        <v>221</v>
      </c>
      <c r="D476" s="0"/>
      <c r="E476" s="0"/>
      <c r="F476" s="0"/>
      <c r="G476" s="0"/>
      <c r="H476" s="0"/>
    </row>
    <row r="477" customFormat="false" ht="12.5" hidden="false" customHeight="false" outlineLevel="0" collapsed="false">
      <c r="A477" s="0" t="s">
        <v>683</v>
      </c>
      <c r="B477" s="65" t="n">
        <v>1</v>
      </c>
      <c r="C477" s="69"/>
      <c r="D477" s="72" t="s">
        <v>36</v>
      </c>
    </row>
    <row r="478" customFormat="false" ht="12.5" hidden="false" customHeight="false" outlineLevel="0" collapsed="false">
      <c r="A478" s="0" t="s">
        <v>684</v>
      </c>
      <c r="B478" s="65" t="n">
        <v>1</v>
      </c>
      <c r="C478" s="69"/>
      <c r="D478" s="72" t="s">
        <v>36</v>
      </c>
    </row>
    <row r="479" customFormat="false" ht="12.5" hidden="false" customHeight="false" outlineLevel="0" collapsed="false">
      <c r="A479" s="0" t="s">
        <v>685</v>
      </c>
      <c r="B479" s="65" t="n">
        <v>1</v>
      </c>
      <c r="C479" s="69"/>
      <c r="D479" s="72" t="s">
        <v>36</v>
      </c>
    </row>
    <row r="480" customFormat="false" ht="12.5" hidden="false" customHeight="false" outlineLevel="0" collapsed="false">
      <c r="A480" s="0" t="s">
        <v>686</v>
      </c>
      <c r="B480" s="65" t="n">
        <v>1</v>
      </c>
      <c r="C480" s="69"/>
      <c r="D480" s="72" t="s">
        <v>36</v>
      </c>
    </row>
    <row r="481" customFormat="false" ht="12.5" hidden="false" customHeight="false" outlineLevel="0" collapsed="false">
      <c r="A481" s="0" t="s">
        <v>687</v>
      </c>
      <c r="B481" s="65" t="n">
        <v>1</v>
      </c>
      <c r="C481" s="69"/>
      <c r="D481" s="72" t="s">
        <v>36</v>
      </c>
    </row>
    <row r="482" customFormat="false" ht="12.5" hidden="false" customHeight="false" outlineLevel="0" collapsed="false">
      <c r="A482" s="0" t="s">
        <v>688</v>
      </c>
      <c r="B482" s="65" t="n">
        <v>1</v>
      </c>
      <c r="C482" s="69"/>
      <c r="D482" s="72" t="s">
        <v>36</v>
      </c>
    </row>
    <row r="483" customFormat="false" ht="12.5" hidden="false" customHeight="false" outlineLevel="0" collapsed="false">
      <c r="A483" s="0" t="s">
        <v>689</v>
      </c>
      <c r="B483" s="65" t="n">
        <v>1</v>
      </c>
      <c r="C483" s="69"/>
      <c r="D483" s="72" t="s">
        <v>36</v>
      </c>
    </row>
    <row r="484" customFormat="false" ht="12.5" hidden="false" customHeight="false" outlineLevel="0" collapsed="false">
      <c r="A484" s="0" t="s">
        <v>690</v>
      </c>
      <c r="B484" s="65" t="n">
        <v>1</v>
      </c>
      <c r="C484" s="69"/>
      <c r="D484" s="72" t="s">
        <v>36</v>
      </c>
    </row>
    <row r="485" customFormat="false" ht="12.5" hidden="false" customHeight="false" outlineLevel="0" collapsed="false">
      <c r="A485" s="0" t="s">
        <v>691</v>
      </c>
      <c r="B485" s="65" t="n">
        <v>1</v>
      </c>
      <c r="C485" s="69"/>
      <c r="D485" s="72" t="s">
        <v>36</v>
      </c>
    </row>
    <row r="486" customFormat="false" ht="12.5" hidden="false" customHeight="false" outlineLevel="0" collapsed="false">
      <c r="A486" s="0" t="s">
        <v>692</v>
      </c>
      <c r="B486" s="65" t="n">
        <v>1</v>
      </c>
      <c r="C486" s="69"/>
      <c r="D486" s="72" t="s">
        <v>36</v>
      </c>
    </row>
    <row r="487" customFormat="false" ht="12.5" hidden="false" customHeight="false" outlineLevel="0" collapsed="false">
      <c r="A487" s="0" t="s">
        <v>693</v>
      </c>
      <c r="B487" s="65" t="n">
        <v>1</v>
      </c>
      <c r="C487" s="69"/>
      <c r="D487" s="72" t="s">
        <v>36</v>
      </c>
    </row>
    <row r="488" customFormat="false" ht="12.5" hidden="false" customHeight="false" outlineLevel="0" collapsed="false">
      <c r="A488" s="0" t="s">
        <v>694</v>
      </c>
      <c r="B488" s="65" t="n">
        <v>1</v>
      </c>
      <c r="C488" s="69"/>
      <c r="D488" s="72" t="s">
        <v>36</v>
      </c>
    </row>
    <row r="489" customFormat="false" ht="12.5" hidden="false" customHeight="false" outlineLevel="0" collapsed="false">
      <c r="A489" s="0" t="s">
        <v>695</v>
      </c>
      <c r="B489" s="65" t="n">
        <v>1</v>
      </c>
      <c r="C489" s="69"/>
      <c r="D489" s="72" t="s">
        <v>36</v>
      </c>
    </row>
    <row r="490" customFormat="false" ht="12.5" hidden="false" customHeight="false" outlineLevel="0" collapsed="false">
      <c r="A490" s="0" t="s">
        <v>696</v>
      </c>
      <c r="B490" s="65" t="n">
        <v>1</v>
      </c>
      <c r="C490" s="69"/>
      <c r="D490" s="72" t="s">
        <v>36</v>
      </c>
    </row>
    <row r="491" customFormat="false" ht="12.5" hidden="false" customHeight="false" outlineLevel="0" collapsed="false">
      <c r="A491" s="0" t="s">
        <v>697</v>
      </c>
      <c r="B491" s="65" t="n">
        <v>1</v>
      </c>
      <c r="C491" s="69"/>
      <c r="D491" s="72" t="s">
        <v>36</v>
      </c>
    </row>
    <row r="492" customFormat="false" ht="12.5" hidden="false" customHeight="false" outlineLevel="0" collapsed="false">
      <c r="A492" s="0" t="s">
        <v>698</v>
      </c>
      <c r="B492" s="65" t="n">
        <v>1</v>
      </c>
      <c r="C492" s="69"/>
      <c r="D492" s="72" t="s">
        <v>36</v>
      </c>
    </row>
    <row r="493" customFormat="false" ht="12.5" hidden="false" customHeight="false" outlineLevel="0" collapsed="false">
      <c r="A493" s="64" t="s">
        <v>699</v>
      </c>
      <c r="B493" s="65" t="n">
        <v>1</v>
      </c>
      <c r="C493" s="69"/>
      <c r="D493" s="72" t="s">
        <v>36</v>
      </c>
    </row>
    <row r="494" customFormat="false" ht="12.5" hidden="true" customHeight="false" outlineLevel="0" collapsed="false">
      <c r="A494" s="0" t="s">
        <v>700</v>
      </c>
      <c r="B494" s="65" t="n">
        <v>1</v>
      </c>
      <c r="C494" s="71" t="s">
        <v>221</v>
      </c>
    </row>
    <row r="495" customFormat="false" ht="12.5" hidden="false" customHeight="false" outlineLevel="0" collapsed="false">
      <c r="A495" s="0" t="s">
        <v>701</v>
      </c>
      <c r="B495" s="65" t="n">
        <v>1</v>
      </c>
      <c r="C495" s="69"/>
      <c r="E495" s="72" t="s">
        <v>36</v>
      </c>
    </row>
    <row r="496" customFormat="false" ht="12.5" hidden="true" customHeight="false" outlineLevel="0" collapsed="false">
      <c r="A496" s="0" t="s">
        <v>702</v>
      </c>
      <c r="B496" s="65" t="n">
        <v>1</v>
      </c>
      <c r="C496" s="71" t="s">
        <v>221</v>
      </c>
      <c r="D496" s="0"/>
      <c r="E496" s="0"/>
      <c r="F496" s="0"/>
      <c r="G496" s="0"/>
      <c r="H496" s="0"/>
    </row>
    <row r="497" customFormat="false" ht="12.5" hidden="true" customHeight="false" outlineLevel="0" collapsed="false">
      <c r="A497" s="0" t="s">
        <v>703</v>
      </c>
      <c r="B497" s="65" t="n">
        <v>1</v>
      </c>
      <c r="C497" s="71" t="s">
        <v>221</v>
      </c>
    </row>
    <row r="498" customFormat="false" ht="12.5" hidden="true" customHeight="false" outlineLevel="0" collapsed="false">
      <c r="A498" s="0" t="s">
        <v>704</v>
      </c>
      <c r="B498" s="65" t="n">
        <v>1</v>
      </c>
      <c r="C498" s="71" t="s">
        <v>221</v>
      </c>
      <c r="D498" s="0"/>
      <c r="E498" s="0"/>
      <c r="F498" s="0"/>
      <c r="G498" s="0"/>
      <c r="H498" s="0"/>
    </row>
    <row r="499" customFormat="false" ht="12.5" hidden="true" customHeight="false" outlineLevel="0" collapsed="false">
      <c r="A499" s="0" t="s">
        <v>705</v>
      </c>
      <c r="B499" s="65" t="n">
        <v>1</v>
      </c>
      <c r="C499" s="71" t="s">
        <v>221</v>
      </c>
      <c r="D499" s="0"/>
      <c r="E499" s="0"/>
      <c r="F499" s="0"/>
      <c r="G499" s="0"/>
      <c r="H499" s="0"/>
    </row>
    <row r="500" customFormat="false" ht="12.5" hidden="false" customHeight="false" outlineLevel="0" collapsed="false">
      <c r="A500" s="0" t="s">
        <v>706</v>
      </c>
      <c r="B500" s="65" t="n">
        <v>1</v>
      </c>
      <c r="C500" s="69"/>
      <c r="G500" s="72" t="s">
        <v>36</v>
      </c>
    </row>
    <row r="501" customFormat="false" ht="12.5" hidden="true" customHeight="false" outlineLevel="0" collapsed="false">
      <c r="A501" s="0" t="s">
        <v>707</v>
      </c>
      <c r="B501" s="65" t="n">
        <v>1</v>
      </c>
      <c r="C501" s="71" t="s">
        <v>221</v>
      </c>
      <c r="D501" s="0"/>
      <c r="E501" s="0"/>
      <c r="F501" s="0"/>
      <c r="G501" s="0"/>
      <c r="H501" s="0"/>
    </row>
    <row r="502" customFormat="false" ht="12.5" hidden="true" customHeight="false" outlineLevel="0" collapsed="false">
      <c r="A502" s="0" t="s">
        <v>708</v>
      </c>
      <c r="B502" s="65" t="n">
        <v>1</v>
      </c>
      <c r="C502" s="71" t="s">
        <v>221</v>
      </c>
      <c r="D502" s="0"/>
      <c r="E502" s="0"/>
      <c r="F502" s="0"/>
      <c r="G502" s="0"/>
      <c r="H502" s="0"/>
    </row>
    <row r="503" customFormat="false" ht="12.5" hidden="true" customHeight="false" outlineLevel="0" collapsed="false">
      <c r="A503" s="0" t="s">
        <v>709</v>
      </c>
      <c r="B503" s="65" t="n">
        <v>1</v>
      </c>
      <c r="C503" s="71" t="s">
        <v>221</v>
      </c>
      <c r="D503" s="0"/>
      <c r="E503" s="0"/>
      <c r="F503" s="0"/>
      <c r="G503" s="0"/>
      <c r="H503" s="0"/>
    </row>
    <row r="504" customFormat="false" ht="12.5" hidden="true" customHeight="false" outlineLevel="0" collapsed="false">
      <c r="A504" s="0" t="s">
        <v>710</v>
      </c>
      <c r="B504" s="65" t="n">
        <v>1</v>
      </c>
      <c r="C504" s="71" t="s">
        <v>221</v>
      </c>
      <c r="D504" s="0"/>
      <c r="E504" s="0"/>
      <c r="F504" s="0"/>
      <c r="G504" s="0"/>
      <c r="H504" s="0"/>
    </row>
    <row r="505" customFormat="false" ht="12.5" hidden="true" customHeight="false" outlineLevel="0" collapsed="false">
      <c r="A505" s="0" t="s">
        <v>711</v>
      </c>
      <c r="B505" s="65" t="n">
        <v>1</v>
      </c>
      <c r="C505" s="71" t="s">
        <v>221</v>
      </c>
      <c r="D505" s="0"/>
      <c r="E505" s="0"/>
      <c r="F505" s="0"/>
      <c r="G505" s="0"/>
      <c r="H505" s="0"/>
    </row>
    <row r="506" customFormat="false" ht="12.5" hidden="true" customHeight="false" outlineLevel="0" collapsed="false">
      <c r="A506" s="0" t="s">
        <v>712</v>
      </c>
      <c r="B506" s="65" t="n">
        <v>1</v>
      </c>
      <c r="C506" s="71" t="s">
        <v>221</v>
      </c>
      <c r="D506" s="0"/>
      <c r="E506" s="0"/>
      <c r="F506" s="0"/>
      <c r="G506" s="0"/>
      <c r="H506" s="0"/>
    </row>
    <row r="507" customFormat="false" ht="12.5" hidden="true" customHeight="false" outlineLevel="0" collapsed="false">
      <c r="A507" s="0" t="s">
        <v>713</v>
      </c>
      <c r="B507" s="65" t="n">
        <v>1</v>
      </c>
      <c r="C507" s="71" t="s">
        <v>221</v>
      </c>
      <c r="D507" s="0"/>
      <c r="E507" s="0"/>
      <c r="F507" s="0"/>
      <c r="G507" s="0"/>
      <c r="H507" s="0"/>
    </row>
    <row r="508" customFormat="false" ht="12.5" hidden="true" customHeight="false" outlineLevel="0" collapsed="false">
      <c r="A508" s="0" t="s">
        <v>714</v>
      </c>
      <c r="B508" s="65" t="n">
        <v>1</v>
      </c>
      <c r="C508" s="71" t="s">
        <v>221</v>
      </c>
      <c r="D508" s="0"/>
      <c r="E508" s="0"/>
      <c r="F508" s="0"/>
      <c r="G508" s="0"/>
      <c r="H508" s="0"/>
    </row>
    <row r="509" customFormat="false" ht="12.5" hidden="true" customHeight="false" outlineLevel="0" collapsed="false">
      <c r="A509" s="0" t="s">
        <v>715</v>
      </c>
      <c r="B509" s="65" t="n">
        <v>1</v>
      </c>
      <c r="C509" s="71" t="s">
        <v>221</v>
      </c>
      <c r="D509" s="0"/>
      <c r="E509" s="0"/>
      <c r="F509" s="0"/>
      <c r="G509" s="0"/>
      <c r="H509" s="0"/>
    </row>
    <row r="510" customFormat="false" ht="12.5" hidden="true" customHeight="false" outlineLevel="0" collapsed="false">
      <c r="A510" s="0" t="s">
        <v>716</v>
      </c>
      <c r="B510" s="65" t="n">
        <v>1</v>
      </c>
      <c r="C510" s="71" t="s">
        <v>221</v>
      </c>
      <c r="D510" s="0"/>
      <c r="E510" s="0"/>
      <c r="F510" s="0"/>
      <c r="G510" s="0"/>
      <c r="H510" s="0"/>
    </row>
    <row r="511" customFormat="false" ht="12.5" hidden="true" customHeight="false" outlineLevel="0" collapsed="false">
      <c r="A511" s="0" t="s">
        <v>717</v>
      </c>
      <c r="B511" s="65" t="n">
        <v>1</v>
      </c>
      <c r="C511" s="71" t="s">
        <v>221</v>
      </c>
      <c r="D511" s="0"/>
      <c r="E511" s="0"/>
      <c r="F511" s="0"/>
      <c r="G511" s="0"/>
      <c r="H511" s="0"/>
    </row>
    <row r="512" customFormat="false" ht="12.5" hidden="true" customHeight="false" outlineLevel="0" collapsed="false">
      <c r="A512" s="0" t="s">
        <v>718</v>
      </c>
      <c r="B512" s="65" t="n">
        <v>1</v>
      </c>
      <c r="C512" s="71" t="s">
        <v>221</v>
      </c>
      <c r="D512" s="0"/>
      <c r="E512" s="0"/>
      <c r="F512" s="0"/>
      <c r="G512" s="0"/>
      <c r="H512" s="0"/>
    </row>
    <row r="513" customFormat="false" ht="12.5" hidden="true" customHeight="false" outlineLevel="0" collapsed="false">
      <c r="A513" s="0" t="s">
        <v>719</v>
      </c>
      <c r="B513" s="65" t="n">
        <v>1</v>
      </c>
      <c r="C513" s="71" t="s">
        <v>221</v>
      </c>
      <c r="D513" s="0"/>
      <c r="E513" s="0"/>
      <c r="F513" s="0"/>
      <c r="G513" s="0"/>
      <c r="H513" s="0"/>
    </row>
    <row r="514" customFormat="false" ht="12.5" hidden="true" customHeight="false" outlineLevel="0" collapsed="false">
      <c r="A514" s="0" t="s">
        <v>720</v>
      </c>
      <c r="B514" s="65" t="n">
        <v>1</v>
      </c>
      <c r="C514" s="71" t="s">
        <v>221</v>
      </c>
      <c r="D514" s="0"/>
      <c r="E514" s="0"/>
      <c r="F514" s="0"/>
      <c r="G514" s="0"/>
      <c r="H514" s="0"/>
    </row>
    <row r="515" customFormat="false" ht="12.5" hidden="true" customHeight="false" outlineLevel="0" collapsed="false">
      <c r="A515" s="0" t="s">
        <v>721</v>
      </c>
      <c r="B515" s="65" t="n">
        <v>1</v>
      </c>
      <c r="C515" s="71" t="s">
        <v>221</v>
      </c>
      <c r="D515" s="0"/>
      <c r="E515" s="0"/>
      <c r="F515" s="0"/>
      <c r="G515" s="0"/>
      <c r="H515" s="0"/>
    </row>
    <row r="516" customFormat="false" ht="12.5" hidden="true" customHeight="false" outlineLevel="0" collapsed="false">
      <c r="A516" s="0" t="s">
        <v>722</v>
      </c>
      <c r="B516" s="65" t="n">
        <v>1</v>
      </c>
      <c r="C516" s="71" t="s">
        <v>221</v>
      </c>
      <c r="D516" s="0"/>
      <c r="E516" s="0"/>
      <c r="F516" s="0"/>
      <c r="G516" s="0"/>
      <c r="H516" s="0"/>
    </row>
    <row r="517" customFormat="false" ht="12.5" hidden="true" customHeight="false" outlineLevel="0" collapsed="false">
      <c r="A517" s="0" t="s">
        <v>723</v>
      </c>
      <c r="B517" s="65" t="n">
        <v>1</v>
      </c>
      <c r="C517" s="71" t="s">
        <v>221</v>
      </c>
      <c r="D517" s="0"/>
      <c r="E517" s="0"/>
      <c r="F517" s="0"/>
      <c r="G517" s="0"/>
      <c r="H517" s="0"/>
    </row>
    <row r="518" customFormat="false" ht="12.5" hidden="true" customHeight="false" outlineLevel="0" collapsed="false">
      <c r="A518" s="0" t="s">
        <v>724</v>
      </c>
      <c r="B518" s="65" t="n">
        <v>1</v>
      </c>
      <c r="C518" s="71" t="s">
        <v>221</v>
      </c>
      <c r="D518" s="0"/>
      <c r="E518" s="0"/>
      <c r="F518" s="0"/>
      <c r="G518" s="0"/>
      <c r="H518" s="0"/>
    </row>
    <row r="519" customFormat="false" ht="12.5" hidden="true" customHeight="false" outlineLevel="0" collapsed="false">
      <c r="A519" s="0" t="s">
        <v>725</v>
      </c>
      <c r="B519" s="65" t="n">
        <v>1</v>
      </c>
      <c r="C519" s="71" t="s">
        <v>221</v>
      </c>
      <c r="D519" s="0"/>
      <c r="E519" s="0"/>
      <c r="F519" s="0"/>
      <c r="G519" s="0"/>
      <c r="H519" s="0"/>
    </row>
    <row r="520" customFormat="false" ht="12.5" hidden="true" customHeight="false" outlineLevel="0" collapsed="false">
      <c r="A520" s="0" t="s">
        <v>726</v>
      </c>
      <c r="B520" s="65" t="n">
        <v>1</v>
      </c>
      <c r="C520" s="71" t="s">
        <v>221</v>
      </c>
      <c r="D520" s="0"/>
      <c r="E520" s="0"/>
      <c r="F520" s="0"/>
      <c r="G520" s="0"/>
      <c r="H520" s="0"/>
    </row>
    <row r="521" customFormat="false" ht="12.5" hidden="true" customHeight="false" outlineLevel="0" collapsed="false">
      <c r="A521" s="0" t="s">
        <v>727</v>
      </c>
      <c r="B521" s="65" t="n">
        <v>1</v>
      </c>
      <c r="C521" s="71" t="s">
        <v>221</v>
      </c>
      <c r="D521" s="0"/>
      <c r="E521" s="0"/>
      <c r="F521" s="0"/>
      <c r="G521" s="0"/>
      <c r="H521" s="0"/>
    </row>
    <row r="522" customFormat="false" ht="12.5" hidden="true" customHeight="false" outlineLevel="0" collapsed="false">
      <c r="A522" s="0" t="s">
        <v>728</v>
      </c>
      <c r="B522" s="65" t="n">
        <v>1</v>
      </c>
      <c r="C522" s="71" t="s">
        <v>221</v>
      </c>
      <c r="D522" s="0"/>
      <c r="E522" s="0"/>
      <c r="F522" s="0"/>
      <c r="G522" s="0"/>
      <c r="H522" s="0"/>
    </row>
    <row r="523" customFormat="false" ht="12.5" hidden="true" customHeight="false" outlineLevel="0" collapsed="false">
      <c r="A523" s="0" t="s">
        <v>729</v>
      </c>
      <c r="B523" s="65" t="n">
        <v>1</v>
      </c>
      <c r="C523" s="71" t="s">
        <v>221</v>
      </c>
      <c r="D523" s="0"/>
      <c r="E523" s="0"/>
      <c r="F523" s="0"/>
      <c r="G523" s="0"/>
      <c r="H523" s="0"/>
    </row>
    <row r="524" customFormat="false" ht="12.5" hidden="true" customHeight="false" outlineLevel="0" collapsed="false">
      <c r="A524" s="0" t="s">
        <v>730</v>
      </c>
      <c r="B524" s="65" t="n">
        <v>1</v>
      </c>
      <c r="C524" s="71" t="s">
        <v>221</v>
      </c>
      <c r="D524" s="0"/>
      <c r="E524" s="0"/>
      <c r="F524" s="0"/>
      <c r="G524" s="0"/>
      <c r="H524" s="0"/>
    </row>
    <row r="525" customFormat="false" ht="12.5" hidden="true" customHeight="false" outlineLevel="0" collapsed="false">
      <c r="A525" s="0" t="s">
        <v>731</v>
      </c>
      <c r="B525" s="65" t="n">
        <v>1</v>
      </c>
      <c r="C525" s="71" t="s">
        <v>221</v>
      </c>
      <c r="D525" s="0"/>
      <c r="E525" s="0"/>
      <c r="F525" s="0"/>
      <c r="G525" s="0"/>
      <c r="H525" s="0"/>
    </row>
    <row r="526" customFormat="false" ht="12.5" hidden="true" customHeight="false" outlineLevel="0" collapsed="false">
      <c r="A526" s="0" t="s">
        <v>732</v>
      </c>
      <c r="B526" s="65" t="n">
        <v>1</v>
      </c>
      <c r="C526" s="71" t="s">
        <v>221</v>
      </c>
      <c r="D526" s="0"/>
      <c r="E526" s="0"/>
      <c r="F526" s="0"/>
      <c r="G526" s="0"/>
      <c r="H526" s="0"/>
    </row>
    <row r="527" customFormat="false" ht="12.5" hidden="true" customHeight="false" outlineLevel="0" collapsed="false">
      <c r="A527" s="0" t="s">
        <v>733</v>
      </c>
      <c r="B527" s="65" t="n">
        <v>1</v>
      </c>
      <c r="C527" s="71" t="s">
        <v>221</v>
      </c>
      <c r="D527" s="0"/>
      <c r="E527" s="0"/>
      <c r="F527" s="0"/>
      <c r="G527" s="0"/>
      <c r="H527" s="0"/>
    </row>
    <row r="528" customFormat="false" ht="12.5" hidden="true" customHeight="false" outlineLevel="0" collapsed="false">
      <c r="A528" s="0" t="s">
        <v>734</v>
      </c>
      <c r="B528" s="65" t="n">
        <v>1</v>
      </c>
      <c r="C528" s="71" t="s">
        <v>221</v>
      </c>
      <c r="D528" s="0"/>
      <c r="E528" s="0"/>
      <c r="F528" s="0"/>
      <c r="G528" s="0"/>
      <c r="H528" s="0"/>
    </row>
    <row r="529" customFormat="false" ht="12.5" hidden="true" customHeight="false" outlineLevel="0" collapsed="false">
      <c r="A529" s="0" t="s">
        <v>735</v>
      </c>
      <c r="B529" s="65" t="n">
        <v>1</v>
      </c>
      <c r="C529" s="71" t="s">
        <v>221</v>
      </c>
      <c r="D529" s="0"/>
      <c r="E529" s="0"/>
      <c r="F529" s="0"/>
      <c r="G529" s="0"/>
      <c r="H529" s="0"/>
    </row>
    <row r="530" customFormat="false" ht="12.5" hidden="true" customHeight="false" outlineLevel="0" collapsed="false">
      <c r="A530" s="0" t="s">
        <v>736</v>
      </c>
      <c r="B530" s="65" t="n">
        <v>1</v>
      </c>
      <c r="C530" s="71" t="s">
        <v>221</v>
      </c>
      <c r="D530" s="0"/>
      <c r="E530" s="0"/>
      <c r="F530" s="0"/>
      <c r="G530" s="0"/>
      <c r="H530" s="0"/>
    </row>
    <row r="531" customFormat="false" ht="12.5" hidden="true" customHeight="false" outlineLevel="0" collapsed="false">
      <c r="A531" s="0" t="s">
        <v>737</v>
      </c>
      <c r="B531" s="65" t="n">
        <v>1</v>
      </c>
      <c r="C531" s="71" t="s">
        <v>221</v>
      </c>
      <c r="D531" s="0"/>
      <c r="E531" s="0"/>
      <c r="F531" s="0"/>
      <c r="G531" s="0"/>
      <c r="H531" s="0"/>
    </row>
    <row r="532" customFormat="false" ht="12.5" hidden="true" customHeight="false" outlineLevel="0" collapsed="false">
      <c r="A532" s="0" t="s">
        <v>738</v>
      </c>
      <c r="B532" s="65" t="n">
        <v>1</v>
      </c>
      <c r="C532" s="71" t="s">
        <v>221</v>
      </c>
      <c r="D532" s="0"/>
      <c r="E532" s="0"/>
      <c r="F532" s="0"/>
      <c r="G532" s="0"/>
      <c r="H532" s="0"/>
    </row>
    <row r="533" customFormat="false" ht="12.5" hidden="true" customHeight="false" outlineLevel="0" collapsed="false">
      <c r="A533" s="0" t="s">
        <v>739</v>
      </c>
      <c r="B533" s="65" t="n">
        <v>1</v>
      </c>
      <c r="C533" s="71" t="s">
        <v>221</v>
      </c>
      <c r="D533" s="0"/>
      <c r="E533" s="0"/>
      <c r="F533" s="0"/>
      <c r="G533" s="0"/>
      <c r="H533" s="0"/>
    </row>
    <row r="534" customFormat="false" ht="12.5" hidden="true" customHeight="false" outlineLevel="0" collapsed="false">
      <c r="A534" s="0" t="s">
        <v>740</v>
      </c>
      <c r="B534" s="65" t="n">
        <v>1</v>
      </c>
      <c r="C534" s="71" t="s">
        <v>221</v>
      </c>
      <c r="D534" s="0"/>
      <c r="E534" s="0"/>
      <c r="F534" s="0"/>
      <c r="G534" s="0"/>
      <c r="H534" s="0"/>
    </row>
    <row r="535" customFormat="false" ht="12.5" hidden="true" customHeight="false" outlineLevel="0" collapsed="false">
      <c r="A535" s="0" t="s">
        <v>741</v>
      </c>
      <c r="B535" s="65" t="n">
        <v>1</v>
      </c>
      <c r="C535" s="71" t="s">
        <v>221</v>
      </c>
      <c r="D535" s="0"/>
      <c r="E535" s="0"/>
      <c r="F535" s="0"/>
      <c r="G535" s="0"/>
      <c r="H535" s="0"/>
    </row>
    <row r="536" customFormat="false" ht="12.5" hidden="true" customHeight="false" outlineLevel="0" collapsed="false">
      <c r="A536" s="0" t="s">
        <v>742</v>
      </c>
      <c r="B536" s="65" t="n">
        <v>1</v>
      </c>
      <c r="C536" s="71" t="s">
        <v>221</v>
      </c>
      <c r="D536" s="0"/>
      <c r="E536" s="0"/>
      <c r="F536" s="0"/>
      <c r="G536" s="0"/>
      <c r="H536" s="0"/>
    </row>
    <row r="537" customFormat="false" ht="12.5" hidden="true" customHeight="false" outlineLevel="0" collapsed="false">
      <c r="A537" s="0" t="s">
        <v>743</v>
      </c>
      <c r="B537" s="65" t="n">
        <v>1</v>
      </c>
      <c r="C537" s="71" t="s">
        <v>221</v>
      </c>
      <c r="D537" s="0"/>
      <c r="E537" s="0"/>
      <c r="F537" s="0"/>
      <c r="G537" s="0"/>
      <c r="H537" s="0"/>
    </row>
    <row r="538" customFormat="false" ht="12.5" hidden="true" customHeight="false" outlineLevel="0" collapsed="false">
      <c r="A538" s="0" t="s">
        <v>744</v>
      </c>
      <c r="B538" s="65" t="n">
        <v>1</v>
      </c>
      <c r="C538" s="71" t="s">
        <v>221</v>
      </c>
      <c r="D538" s="0"/>
      <c r="E538" s="0"/>
      <c r="F538" s="0"/>
      <c r="G538" s="0"/>
      <c r="H538" s="0"/>
    </row>
    <row r="539" customFormat="false" ht="12.5" hidden="true" customHeight="false" outlineLevel="0" collapsed="false">
      <c r="A539" s="0" t="s">
        <v>745</v>
      </c>
      <c r="B539" s="65" t="n">
        <v>1</v>
      </c>
      <c r="C539" s="71" t="s">
        <v>221</v>
      </c>
      <c r="D539" s="0"/>
      <c r="E539" s="0"/>
      <c r="F539" s="0"/>
      <c r="G539" s="0"/>
      <c r="H539" s="0"/>
    </row>
    <row r="540" customFormat="false" ht="12.5" hidden="true" customHeight="false" outlineLevel="0" collapsed="false">
      <c r="A540" s="0" t="s">
        <v>746</v>
      </c>
      <c r="B540" s="65" t="n">
        <v>1</v>
      </c>
      <c r="C540" s="71" t="s">
        <v>221</v>
      </c>
      <c r="D540" s="0"/>
      <c r="E540" s="0"/>
      <c r="F540" s="0"/>
      <c r="G540" s="0"/>
      <c r="H540" s="0"/>
    </row>
    <row r="541" customFormat="false" ht="12.5" hidden="true" customHeight="false" outlineLevel="0" collapsed="false">
      <c r="A541" s="0" t="s">
        <v>747</v>
      </c>
      <c r="B541" s="65" t="n">
        <v>1</v>
      </c>
      <c r="C541" s="71" t="s">
        <v>221</v>
      </c>
    </row>
    <row r="542" customFormat="false" ht="12.5" hidden="false" customHeight="false" outlineLevel="0" collapsed="false">
      <c r="A542" s="64" t="s">
        <v>748</v>
      </c>
      <c r="B542" s="65" t="n">
        <v>1</v>
      </c>
      <c r="C542" s="69"/>
      <c r="E542" s="72" t="s">
        <v>36</v>
      </c>
    </row>
    <row r="543" customFormat="false" ht="12.5" hidden="false" customHeight="false" outlineLevel="0" collapsed="false">
      <c r="A543" s="0" t="s">
        <v>749</v>
      </c>
      <c r="B543" s="65" t="n">
        <v>1</v>
      </c>
      <c r="C543" s="69"/>
      <c r="E543" s="72" t="s">
        <v>36</v>
      </c>
    </row>
    <row r="544" customFormat="false" ht="12.5" hidden="false" customHeight="false" outlineLevel="0" collapsed="false">
      <c r="A544" s="0" t="s">
        <v>750</v>
      </c>
      <c r="B544" s="65" t="n">
        <v>1</v>
      </c>
      <c r="C544" s="69"/>
      <c r="E544" s="72" t="s">
        <v>36</v>
      </c>
    </row>
    <row r="545" customFormat="false" ht="12.5" hidden="false" customHeight="false" outlineLevel="0" collapsed="false">
      <c r="A545" s="0" t="s">
        <v>751</v>
      </c>
      <c r="B545" s="65" t="n">
        <v>1</v>
      </c>
      <c r="C545" s="69"/>
      <c r="E545" s="72" t="s">
        <v>36</v>
      </c>
    </row>
    <row r="546" customFormat="false" ht="12.5" hidden="false" customHeight="false" outlineLevel="0" collapsed="false">
      <c r="A546" s="0" t="s">
        <v>752</v>
      </c>
      <c r="B546" s="65" t="n">
        <v>1</v>
      </c>
      <c r="C546" s="69"/>
      <c r="E546" s="72" t="s">
        <v>36</v>
      </c>
    </row>
    <row r="547" customFormat="false" ht="12.5" hidden="false" customHeight="false" outlineLevel="0" collapsed="false">
      <c r="A547" s="0" t="s">
        <v>753</v>
      </c>
      <c r="B547" s="65" t="n">
        <v>1</v>
      </c>
      <c r="C547" s="69"/>
      <c r="E547" s="72" t="s">
        <v>36</v>
      </c>
    </row>
    <row r="548" customFormat="false" ht="12.5" hidden="false" customHeight="false" outlineLevel="0" collapsed="false">
      <c r="A548" s="0" t="s">
        <v>754</v>
      </c>
      <c r="B548" s="65" t="n">
        <v>1</v>
      </c>
      <c r="C548" s="69"/>
      <c r="E548" s="72" t="s">
        <v>36</v>
      </c>
    </row>
    <row r="549" customFormat="false" ht="12.5" hidden="false" customHeight="false" outlineLevel="0" collapsed="false">
      <c r="A549" s="0" t="s">
        <v>755</v>
      </c>
      <c r="B549" s="65" t="n">
        <v>1</v>
      </c>
      <c r="C549" s="69"/>
      <c r="E549" s="72" t="s">
        <v>36</v>
      </c>
    </row>
    <row r="550" customFormat="false" ht="12.5" hidden="false" customHeight="false" outlineLevel="0" collapsed="false">
      <c r="A550" s="64" t="s">
        <v>756</v>
      </c>
      <c r="B550" s="65" t="n">
        <v>1</v>
      </c>
      <c r="C550" s="69"/>
      <c r="E550" s="72" t="s">
        <v>36</v>
      </c>
    </row>
    <row r="551" customFormat="false" ht="12.5" hidden="false" customHeight="false" outlineLevel="0" collapsed="false">
      <c r="A551" s="64" t="s">
        <v>757</v>
      </c>
      <c r="B551" s="65" t="n">
        <v>1</v>
      </c>
      <c r="C551" s="69"/>
      <c r="E551" s="72" t="s">
        <v>36</v>
      </c>
    </row>
    <row r="552" customFormat="false" ht="12.5" hidden="false" customHeight="false" outlineLevel="0" collapsed="false">
      <c r="A552" s="64" t="s">
        <v>758</v>
      </c>
      <c r="B552" s="65" t="n">
        <v>1</v>
      </c>
      <c r="C552" s="69"/>
      <c r="E552" s="72" t="s">
        <v>36</v>
      </c>
    </row>
    <row r="553" customFormat="false" ht="12.5" hidden="false" customHeight="false" outlineLevel="0" collapsed="false">
      <c r="A553" s="0" t="s">
        <v>759</v>
      </c>
      <c r="B553" s="65" t="n">
        <v>1</v>
      </c>
      <c r="C553" s="69"/>
      <c r="E553" s="72" t="s">
        <v>36</v>
      </c>
    </row>
    <row r="554" customFormat="false" ht="12.5" hidden="false" customHeight="false" outlineLevel="0" collapsed="false">
      <c r="A554" s="0" t="s">
        <v>760</v>
      </c>
      <c r="B554" s="65" t="n">
        <v>1</v>
      </c>
      <c r="C554" s="69"/>
      <c r="E554" s="72" t="s">
        <v>36</v>
      </c>
    </row>
    <row r="555" customFormat="false" ht="12.5" hidden="false" customHeight="false" outlineLevel="0" collapsed="false">
      <c r="A555" s="0" t="s">
        <v>761</v>
      </c>
      <c r="B555" s="65" t="n">
        <v>1</v>
      </c>
      <c r="C555" s="69"/>
      <c r="E555" s="72" t="s">
        <v>36</v>
      </c>
    </row>
    <row r="556" customFormat="false" ht="12.5" hidden="false" customHeight="false" outlineLevel="0" collapsed="false">
      <c r="A556" s="64" t="s">
        <v>762</v>
      </c>
      <c r="B556" s="65" t="n">
        <v>1</v>
      </c>
      <c r="C556" s="69"/>
      <c r="E556" s="72" t="s">
        <v>36</v>
      </c>
    </row>
    <row r="557" customFormat="false" ht="12.5" hidden="false" customHeight="false" outlineLevel="0" collapsed="false">
      <c r="A557" s="64" t="s">
        <v>763</v>
      </c>
      <c r="B557" s="65" t="n">
        <v>1</v>
      </c>
      <c r="C557" s="69"/>
      <c r="E557" s="72" t="s">
        <v>36</v>
      </c>
    </row>
    <row r="558" customFormat="false" ht="12.5" hidden="false" customHeight="false" outlineLevel="0" collapsed="false">
      <c r="A558" s="0" t="s">
        <v>764</v>
      </c>
      <c r="B558" s="65" t="n">
        <v>1</v>
      </c>
      <c r="C558" s="69"/>
      <c r="E558" s="72" t="s">
        <v>36</v>
      </c>
    </row>
    <row r="559" customFormat="false" ht="12.5" hidden="false" customHeight="false" outlineLevel="0" collapsed="false">
      <c r="A559" s="64" t="s">
        <v>765</v>
      </c>
      <c r="B559" s="65" t="n">
        <v>1</v>
      </c>
      <c r="C559" s="69"/>
      <c r="E559" s="72" t="s">
        <v>36</v>
      </c>
    </row>
    <row r="560" customFormat="false" ht="12.5" hidden="false" customHeight="false" outlineLevel="0" collapsed="false">
      <c r="A560" s="0" t="s">
        <v>766</v>
      </c>
      <c r="B560" s="65" t="n">
        <v>1</v>
      </c>
      <c r="C560" s="69"/>
      <c r="E560" s="72" t="s">
        <v>36</v>
      </c>
    </row>
    <row r="561" customFormat="false" ht="12.5" hidden="false" customHeight="false" outlineLevel="0" collapsed="false">
      <c r="A561" s="64" t="s">
        <v>767</v>
      </c>
      <c r="B561" s="65" t="n">
        <v>1</v>
      </c>
      <c r="C561" s="69"/>
      <c r="E561" s="72" t="s">
        <v>36</v>
      </c>
    </row>
    <row r="562" customFormat="false" ht="12.5" hidden="false" customHeight="false" outlineLevel="0" collapsed="false">
      <c r="A562" s="64" t="s">
        <v>768</v>
      </c>
      <c r="B562" s="65" t="n">
        <v>1</v>
      </c>
      <c r="C562" s="69"/>
      <c r="E562" s="72" t="s">
        <v>36</v>
      </c>
    </row>
    <row r="563" customFormat="false" ht="12.5" hidden="false" customHeight="false" outlineLevel="0" collapsed="false">
      <c r="A563" s="64" t="s">
        <v>769</v>
      </c>
      <c r="B563" s="65" t="n">
        <v>1</v>
      </c>
      <c r="C563" s="69"/>
      <c r="E563" s="72" t="s">
        <v>36</v>
      </c>
    </row>
    <row r="564" customFormat="false" ht="12.5" hidden="false" customHeight="false" outlineLevel="0" collapsed="false">
      <c r="A564" s="64" t="s">
        <v>770</v>
      </c>
      <c r="B564" s="65" t="n">
        <v>1</v>
      </c>
      <c r="C564" s="69"/>
      <c r="E564" s="72" t="s">
        <v>36</v>
      </c>
    </row>
    <row r="565" customFormat="false" ht="12.5" hidden="false" customHeight="false" outlineLevel="0" collapsed="false">
      <c r="A565" s="64" t="s">
        <v>771</v>
      </c>
      <c r="B565" s="65" t="n">
        <v>1</v>
      </c>
      <c r="C565" s="69"/>
      <c r="E565" s="72" t="s">
        <v>36</v>
      </c>
    </row>
    <row r="566" customFormat="false" ht="12.5" hidden="false" customHeight="false" outlineLevel="0" collapsed="false">
      <c r="A566" s="64" t="s">
        <v>772</v>
      </c>
      <c r="B566" s="65" t="n">
        <v>1</v>
      </c>
      <c r="C566" s="69"/>
      <c r="E566" s="72" t="s">
        <v>36</v>
      </c>
    </row>
    <row r="567" customFormat="false" ht="12.5" hidden="false" customHeight="false" outlineLevel="0" collapsed="false">
      <c r="A567" s="0" t="s">
        <v>773</v>
      </c>
      <c r="B567" s="65" t="n">
        <v>1</v>
      </c>
      <c r="C567" s="69"/>
      <c r="E567" s="72" t="s">
        <v>36</v>
      </c>
    </row>
    <row r="568" customFormat="false" ht="12.5" hidden="false" customHeight="false" outlineLevel="0" collapsed="false">
      <c r="A568" s="64" t="s">
        <v>774</v>
      </c>
      <c r="B568" s="65" t="n">
        <v>1</v>
      </c>
      <c r="C568" s="69"/>
      <c r="E568" s="72" t="s">
        <v>36</v>
      </c>
    </row>
    <row r="569" customFormat="false" ht="12.5" hidden="false" customHeight="false" outlineLevel="0" collapsed="false">
      <c r="A569" s="64" t="s">
        <v>775</v>
      </c>
      <c r="B569" s="65" t="n">
        <v>1</v>
      </c>
      <c r="C569" s="69"/>
      <c r="E569" s="72" t="s">
        <v>36</v>
      </c>
    </row>
    <row r="570" customFormat="false" ht="12.5" hidden="false" customHeight="false" outlineLevel="0" collapsed="false">
      <c r="A570" s="0" t="s">
        <v>776</v>
      </c>
      <c r="B570" s="65" t="n">
        <v>1</v>
      </c>
      <c r="C570" s="69"/>
      <c r="E570" s="72" t="s">
        <v>36</v>
      </c>
    </row>
    <row r="571" customFormat="false" ht="12.5" hidden="false" customHeight="false" outlineLevel="0" collapsed="false">
      <c r="A571" s="0" t="s">
        <v>777</v>
      </c>
      <c r="B571" s="65" t="n">
        <v>1</v>
      </c>
      <c r="C571" s="69"/>
      <c r="E571" s="72" t="s">
        <v>36</v>
      </c>
    </row>
    <row r="572" customFormat="false" ht="12.5" hidden="false" customHeight="false" outlineLevel="0" collapsed="false">
      <c r="A572" s="0" t="s">
        <v>778</v>
      </c>
      <c r="B572" s="65" t="n">
        <v>1</v>
      </c>
      <c r="C572" s="69"/>
      <c r="G572" s="72" t="s">
        <v>36</v>
      </c>
    </row>
    <row r="573" customFormat="false" ht="12.5" hidden="false" customHeight="false" outlineLevel="0" collapsed="false">
      <c r="A573" s="0" t="s">
        <v>779</v>
      </c>
      <c r="B573" s="65" t="n">
        <v>1</v>
      </c>
      <c r="C573" s="69"/>
      <c r="E573" s="72" t="s">
        <v>36</v>
      </c>
    </row>
    <row r="574" customFormat="false" ht="12.5" hidden="false" customHeight="false" outlineLevel="0" collapsed="false">
      <c r="A574" s="0" t="s">
        <v>780</v>
      </c>
      <c r="B574" s="65" t="n">
        <v>1</v>
      </c>
      <c r="C574" s="69"/>
      <c r="G574" s="72" t="s">
        <v>36</v>
      </c>
    </row>
    <row r="575" customFormat="false" ht="12.5" hidden="false" customHeight="false" outlineLevel="0" collapsed="false">
      <c r="A575" s="0" t="s">
        <v>781</v>
      </c>
      <c r="B575" s="65" t="n">
        <v>1</v>
      </c>
      <c r="C575" s="69"/>
      <c r="G575" s="72" t="s">
        <v>36</v>
      </c>
    </row>
    <row r="576" customFormat="false" ht="12.5" hidden="false" customHeight="false" outlineLevel="0" collapsed="false">
      <c r="A576" s="0" t="s">
        <v>782</v>
      </c>
      <c r="B576" s="65" t="n">
        <v>1</v>
      </c>
      <c r="C576" s="69"/>
      <c r="G576" s="72" t="s">
        <v>36</v>
      </c>
    </row>
    <row r="577" customFormat="false" ht="12.5" hidden="false" customHeight="false" outlineLevel="0" collapsed="false">
      <c r="A577" s="0" t="s">
        <v>783</v>
      </c>
      <c r="B577" s="65" t="n">
        <v>1</v>
      </c>
      <c r="C577" s="69"/>
      <c r="G577" s="72" t="s">
        <v>36</v>
      </c>
    </row>
    <row r="578" customFormat="false" ht="12.5" hidden="false" customHeight="false" outlineLevel="0" collapsed="false">
      <c r="A578" s="0" t="s">
        <v>784</v>
      </c>
      <c r="B578" s="65" t="n">
        <v>1</v>
      </c>
      <c r="C578" s="69"/>
      <c r="G578" s="72" t="s">
        <v>36</v>
      </c>
    </row>
    <row r="579" customFormat="false" ht="12.5" hidden="false" customHeight="false" outlineLevel="0" collapsed="false">
      <c r="A579" s="64" t="s">
        <v>785</v>
      </c>
      <c r="B579" s="65" t="n">
        <v>1</v>
      </c>
      <c r="C579" s="69"/>
      <c r="G579" s="72" t="s">
        <v>36</v>
      </c>
    </row>
    <row r="580" customFormat="false" ht="12.5" hidden="true" customHeight="false" outlineLevel="0" collapsed="false">
      <c r="A580" s="0" t="s">
        <v>786</v>
      </c>
      <c r="B580" s="65" t="n">
        <v>1</v>
      </c>
      <c r="C580" s="71" t="s">
        <v>221</v>
      </c>
    </row>
    <row r="581" customFormat="false" ht="12.5" hidden="true" customHeight="false" outlineLevel="0" collapsed="false">
      <c r="A581" s="0" t="s">
        <v>787</v>
      </c>
      <c r="B581" s="65" t="n">
        <v>1</v>
      </c>
      <c r="C581" s="71" t="s">
        <v>221</v>
      </c>
    </row>
    <row r="582" customFormat="false" ht="12.5" hidden="true" customHeight="false" outlineLevel="0" collapsed="false">
      <c r="A582" s="0" t="s">
        <v>788</v>
      </c>
      <c r="B582" s="65" t="n">
        <v>1</v>
      </c>
      <c r="C582" s="71" t="s">
        <v>221</v>
      </c>
    </row>
    <row r="583" customFormat="false" ht="12.5" hidden="true" customHeight="false" outlineLevel="0" collapsed="false">
      <c r="A583" s="0" t="s">
        <v>789</v>
      </c>
      <c r="B583" s="65" t="n">
        <v>1</v>
      </c>
      <c r="C583" s="71" t="s">
        <v>221</v>
      </c>
    </row>
    <row r="584" customFormat="false" ht="12.5" hidden="true" customHeight="false" outlineLevel="0" collapsed="false">
      <c r="A584" s="0" t="s">
        <v>790</v>
      </c>
      <c r="B584" s="65" t="n">
        <v>1</v>
      </c>
      <c r="C584" s="71" t="s">
        <v>221</v>
      </c>
      <c r="D584" s="0"/>
      <c r="E584" s="0"/>
      <c r="F584" s="0"/>
      <c r="G584" s="0"/>
      <c r="H584" s="0"/>
    </row>
    <row r="585" customFormat="false" ht="12.5" hidden="true" customHeight="false" outlineLevel="0" collapsed="false">
      <c r="A585" s="0" t="s">
        <v>791</v>
      </c>
      <c r="B585" s="65" t="n">
        <v>1</v>
      </c>
      <c r="C585" s="71" t="s">
        <v>221</v>
      </c>
      <c r="D585" s="0"/>
      <c r="E585" s="0"/>
      <c r="F585" s="0"/>
      <c r="G585" s="0"/>
      <c r="H585" s="0"/>
    </row>
    <row r="586" customFormat="false" ht="12.5" hidden="true" customHeight="false" outlineLevel="0" collapsed="false">
      <c r="A586" s="0" t="s">
        <v>792</v>
      </c>
      <c r="B586" s="65" t="n">
        <v>1</v>
      </c>
      <c r="C586" s="71" t="s">
        <v>221</v>
      </c>
      <c r="D586" s="0"/>
      <c r="E586" s="0"/>
      <c r="F586" s="0"/>
      <c r="G586" s="0"/>
      <c r="H586" s="0"/>
    </row>
    <row r="587" customFormat="false" ht="12.5" hidden="true" customHeight="false" outlineLevel="0" collapsed="false">
      <c r="A587" s="0" t="s">
        <v>793</v>
      </c>
      <c r="B587" s="65" t="n">
        <v>1</v>
      </c>
      <c r="C587" s="71" t="s">
        <v>221</v>
      </c>
      <c r="D587" s="0"/>
      <c r="E587" s="0"/>
      <c r="F587" s="0"/>
      <c r="G587" s="0"/>
      <c r="H587" s="0"/>
    </row>
    <row r="588" customFormat="false" ht="12.5" hidden="true" customHeight="false" outlineLevel="0" collapsed="false">
      <c r="A588" s="0" t="s">
        <v>794</v>
      </c>
      <c r="B588" s="65" t="n">
        <v>1</v>
      </c>
      <c r="C588" s="71" t="s">
        <v>221</v>
      </c>
      <c r="D588" s="0"/>
      <c r="E588" s="0"/>
      <c r="F588" s="0"/>
      <c r="G588" s="0"/>
      <c r="H588" s="0"/>
    </row>
    <row r="589" customFormat="false" ht="12.5" hidden="true" customHeight="false" outlineLevel="0" collapsed="false">
      <c r="A589" s="0" t="s">
        <v>795</v>
      </c>
      <c r="B589" s="65" t="n">
        <v>1</v>
      </c>
      <c r="C589" s="71" t="s">
        <v>221</v>
      </c>
      <c r="D589" s="0"/>
      <c r="E589" s="0"/>
      <c r="F589" s="0"/>
      <c r="G589" s="0"/>
      <c r="H589" s="0"/>
    </row>
    <row r="590" customFormat="false" ht="12.5" hidden="true" customHeight="false" outlineLevel="0" collapsed="false">
      <c r="A590" s="0" t="s">
        <v>796</v>
      </c>
      <c r="B590" s="65" t="n">
        <v>1</v>
      </c>
      <c r="C590" s="71" t="s">
        <v>221</v>
      </c>
      <c r="D590" s="0"/>
      <c r="E590" s="0"/>
      <c r="F590" s="0"/>
      <c r="G590" s="0"/>
      <c r="H590" s="0"/>
    </row>
    <row r="591" customFormat="false" ht="12.5" hidden="true" customHeight="false" outlineLevel="0" collapsed="false">
      <c r="A591" s="0" t="s">
        <v>797</v>
      </c>
      <c r="B591" s="65" t="n">
        <v>1</v>
      </c>
      <c r="C591" s="71" t="s">
        <v>221</v>
      </c>
      <c r="D591" s="0"/>
      <c r="E591" s="0"/>
      <c r="F591" s="0"/>
      <c r="G591" s="0"/>
      <c r="H591" s="0"/>
    </row>
    <row r="592" customFormat="false" ht="12.5" hidden="true" customHeight="false" outlineLevel="0" collapsed="false">
      <c r="A592" s="0" t="s">
        <v>798</v>
      </c>
      <c r="B592" s="65" t="n">
        <v>1</v>
      </c>
      <c r="C592" s="71" t="s">
        <v>221</v>
      </c>
      <c r="D592" s="0"/>
      <c r="E592" s="0"/>
      <c r="F592" s="0"/>
      <c r="G592" s="0"/>
      <c r="H592" s="0"/>
    </row>
    <row r="593" customFormat="false" ht="12.5" hidden="true" customHeight="false" outlineLevel="0" collapsed="false">
      <c r="A593" s="0" t="s">
        <v>799</v>
      </c>
      <c r="B593" s="65" t="n">
        <v>1</v>
      </c>
      <c r="C593" s="71" t="s">
        <v>221</v>
      </c>
      <c r="D593" s="0"/>
      <c r="E593" s="0"/>
      <c r="F593" s="0"/>
      <c r="G593" s="0"/>
      <c r="H593" s="0"/>
    </row>
    <row r="594" customFormat="false" ht="12.5" hidden="true" customHeight="false" outlineLevel="0" collapsed="false">
      <c r="A594" s="0" t="s">
        <v>800</v>
      </c>
      <c r="B594" s="65" t="n">
        <v>1</v>
      </c>
      <c r="C594" s="71" t="s">
        <v>221</v>
      </c>
      <c r="D594" s="0"/>
      <c r="E594" s="0"/>
      <c r="F594" s="0"/>
      <c r="G594" s="0"/>
      <c r="H594" s="0"/>
    </row>
    <row r="595" customFormat="false" ht="12.5" hidden="true" customHeight="false" outlineLevel="0" collapsed="false">
      <c r="A595" s="0" t="s">
        <v>801</v>
      </c>
      <c r="B595" s="65" t="n">
        <v>1</v>
      </c>
      <c r="C595" s="71" t="s">
        <v>221</v>
      </c>
      <c r="D595" s="0"/>
      <c r="E595" s="0"/>
      <c r="F595" s="0"/>
      <c r="G595" s="0"/>
      <c r="H595" s="0"/>
    </row>
    <row r="596" customFormat="false" ht="12.5" hidden="true" customHeight="false" outlineLevel="0" collapsed="false">
      <c r="A596" s="0" t="s">
        <v>802</v>
      </c>
      <c r="B596" s="65" t="n">
        <v>1</v>
      </c>
      <c r="C596" s="71" t="s">
        <v>221</v>
      </c>
      <c r="D596" s="0"/>
      <c r="E596" s="0"/>
      <c r="F596" s="0"/>
      <c r="G596" s="0"/>
      <c r="H596" s="0"/>
    </row>
    <row r="597" customFormat="false" ht="12.5" hidden="true" customHeight="false" outlineLevel="0" collapsed="false">
      <c r="A597" s="0" t="s">
        <v>803</v>
      </c>
      <c r="B597" s="65" t="n">
        <v>1</v>
      </c>
      <c r="C597" s="71" t="s">
        <v>221</v>
      </c>
      <c r="D597" s="0"/>
      <c r="E597" s="0"/>
      <c r="F597" s="0"/>
      <c r="G597" s="0"/>
      <c r="H597" s="0"/>
    </row>
    <row r="598" customFormat="false" ht="12.5" hidden="true" customHeight="false" outlineLevel="0" collapsed="false">
      <c r="A598" s="0" t="s">
        <v>804</v>
      </c>
      <c r="B598" s="65" t="n">
        <v>1</v>
      </c>
      <c r="C598" s="71" t="s">
        <v>221</v>
      </c>
      <c r="D598" s="0"/>
      <c r="E598" s="0"/>
      <c r="F598" s="0"/>
      <c r="G598" s="0"/>
      <c r="H598" s="0"/>
    </row>
    <row r="599" customFormat="false" ht="12.5" hidden="true" customHeight="false" outlineLevel="0" collapsed="false">
      <c r="A599" s="0" t="s">
        <v>805</v>
      </c>
      <c r="B599" s="65" t="n">
        <v>1</v>
      </c>
      <c r="C599" s="71" t="s">
        <v>221</v>
      </c>
      <c r="D599" s="0"/>
      <c r="E599" s="0"/>
      <c r="F599" s="0"/>
      <c r="G599" s="0"/>
      <c r="H599" s="0"/>
    </row>
    <row r="600" customFormat="false" ht="12.5" hidden="true" customHeight="false" outlineLevel="0" collapsed="false">
      <c r="A600" s="0" t="s">
        <v>806</v>
      </c>
      <c r="B600" s="65" t="n">
        <v>1</v>
      </c>
      <c r="C600" s="71" t="s">
        <v>221</v>
      </c>
      <c r="D600" s="0"/>
      <c r="E600" s="0"/>
      <c r="F600" s="0"/>
      <c r="G600" s="0"/>
      <c r="H600" s="0"/>
    </row>
    <row r="601" customFormat="false" ht="12.5" hidden="true" customHeight="false" outlineLevel="0" collapsed="false">
      <c r="A601" s="0" t="s">
        <v>807</v>
      </c>
      <c r="B601" s="65" t="n">
        <v>1</v>
      </c>
      <c r="C601" s="71" t="s">
        <v>221</v>
      </c>
      <c r="D601" s="0"/>
      <c r="E601" s="0"/>
      <c r="F601" s="0"/>
      <c r="G601" s="0"/>
      <c r="H601" s="0"/>
    </row>
    <row r="602" customFormat="false" ht="12.5" hidden="true" customHeight="false" outlineLevel="0" collapsed="false">
      <c r="A602" s="0" t="s">
        <v>808</v>
      </c>
      <c r="B602" s="65" t="n">
        <v>1</v>
      </c>
      <c r="C602" s="71" t="s">
        <v>221</v>
      </c>
      <c r="D602" s="0"/>
      <c r="E602" s="0"/>
      <c r="F602" s="0"/>
      <c r="G602" s="0"/>
      <c r="H602" s="0"/>
    </row>
    <row r="603" customFormat="false" ht="12.5" hidden="true" customHeight="false" outlineLevel="0" collapsed="false">
      <c r="A603" s="0" t="s">
        <v>809</v>
      </c>
      <c r="B603" s="65" t="n">
        <v>1</v>
      </c>
      <c r="C603" s="71" t="s">
        <v>221</v>
      </c>
      <c r="D603" s="0"/>
      <c r="E603" s="0"/>
      <c r="F603" s="0"/>
      <c r="G603" s="0"/>
      <c r="H603" s="0"/>
    </row>
    <row r="604" customFormat="false" ht="12.5" hidden="true" customHeight="false" outlineLevel="0" collapsed="false">
      <c r="A604" s="0" t="s">
        <v>810</v>
      </c>
      <c r="B604" s="65" t="n">
        <v>1</v>
      </c>
      <c r="C604" s="71" t="s">
        <v>221</v>
      </c>
      <c r="D604" s="0"/>
      <c r="E604" s="0"/>
      <c r="F604" s="0"/>
      <c r="G604" s="0"/>
      <c r="H604" s="0"/>
    </row>
    <row r="605" customFormat="false" ht="12.5" hidden="true" customHeight="false" outlineLevel="0" collapsed="false">
      <c r="A605" s="0" t="s">
        <v>811</v>
      </c>
      <c r="B605" s="65" t="n">
        <v>1</v>
      </c>
      <c r="C605" s="71" t="s">
        <v>221</v>
      </c>
      <c r="D605" s="0"/>
      <c r="E605" s="0"/>
      <c r="F605" s="0"/>
      <c r="G605" s="0"/>
      <c r="H605" s="0"/>
    </row>
    <row r="606" customFormat="false" ht="12.5" hidden="true" customHeight="false" outlineLevel="0" collapsed="false">
      <c r="A606" s="0" t="s">
        <v>812</v>
      </c>
      <c r="B606" s="65" t="n">
        <v>1</v>
      </c>
      <c r="C606" s="71" t="s">
        <v>221</v>
      </c>
      <c r="D606" s="0"/>
      <c r="E606" s="0"/>
      <c r="F606" s="0"/>
      <c r="G606" s="0"/>
      <c r="H606" s="0"/>
    </row>
    <row r="607" customFormat="false" ht="12.5" hidden="true" customHeight="false" outlineLevel="0" collapsed="false">
      <c r="A607" s="0" t="s">
        <v>813</v>
      </c>
      <c r="B607" s="65" t="n">
        <v>1</v>
      </c>
      <c r="C607" s="71" t="s">
        <v>221</v>
      </c>
      <c r="D607" s="0"/>
      <c r="E607" s="0"/>
      <c r="F607" s="0"/>
      <c r="G607" s="0"/>
      <c r="H607" s="0"/>
    </row>
    <row r="608" customFormat="false" ht="12.5" hidden="true" customHeight="false" outlineLevel="0" collapsed="false">
      <c r="A608" s="0" t="s">
        <v>814</v>
      </c>
      <c r="B608" s="65" t="n">
        <v>1</v>
      </c>
      <c r="C608" s="71" t="s">
        <v>221</v>
      </c>
      <c r="D608" s="0"/>
      <c r="E608" s="0"/>
      <c r="F608" s="0"/>
      <c r="G608" s="0"/>
      <c r="H608" s="0"/>
    </row>
    <row r="609" customFormat="false" ht="12.5" hidden="true" customHeight="false" outlineLevel="0" collapsed="false">
      <c r="A609" s="0" t="s">
        <v>815</v>
      </c>
      <c r="B609" s="65" t="n">
        <v>1</v>
      </c>
      <c r="C609" s="71" t="s">
        <v>221</v>
      </c>
      <c r="D609" s="0"/>
      <c r="E609" s="0"/>
      <c r="F609" s="0"/>
      <c r="G609" s="0"/>
      <c r="H609" s="0"/>
    </row>
    <row r="610" customFormat="false" ht="12.5" hidden="true" customHeight="false" outlineLevel="0" collapsed="false">
      <c r="A610" s="0" t="s">
        <v>816</v>
      </c>
      <c r="B610" s="65" t="n">
        <v>1</v>
      </c>
      <c r="C610" s="71" t="s">
        <v>221</v>
      </c>
      <c r="D610" s="0"/>
      <c r="E610" s="0"/>
      <c r="F610" s="0"/>
      <c r="G610" s="0"/>
      <c r="H610" s="0"/>
    </row>
    <row r="611" customFormat="false" ht="12.5" hidden="true" customHeight="false" outlineLevel="0" collapsed="false">
      <c r="A611" s="0" t="s">
        <v>817</v>
      </c>
      <c r="B611" s="65" t="n">
        <v>1</v>
      </c>
      <c r="C611" s="71" t="s">
        <v>221</v>
      </c>
      <c r="D611" s="0"/>
      <c r="E611" s="0"/>
      <c r="F611" s="0"/>
      <c r="G611" s="0"/>
      <c r="H611" s="0"/>
    </row>
    <row r="612" customFormat="false" ht="12.5" hidden="true" customHeight="false" outlineLevel="0" collapsed="false">
      <c r="A612" s="0" t="s">
        <v>818</v>
      </c>
      <c r="B612" s="65" t="n">
        <v>1</v>
      </c>
      <c r="C612" s="71" t="s">
        <v>221</v>
      </c>
      <c r="D612" s="0"/>
      <c r="E612" s="0"/>
      <c r="F612" s="0"/>
      <c r="G612" s="0"/>
      <c r="H612" s="0"/>
    </row>
    <row r="613" customFormat="false" ht="12.5" hidden="true" customHeight="false" outlineLevel="0" collapsed="false">
      <c r="A613" s="0" t="s">
        <v>819</v>
      </c>
      <c r="B613" s="65" t="n">
        <v>1</v>
      </c>
      <c r="C613" s="71" t="s">
        <v>221</v>
      </c>
      <c r="D613" s="0"/>
      <c r="E613" s="0"/>
      <c r="F613" s="0"/>
      <c r="G613" s="0"/>
      <c r="H613" s="0"/>
    </row>
    <row r="614" customFormat="false" ht="12.5" hidden="true" customHeight="false" outlineLevel="0" collapsed="false">
      <c r="A614" s="0" t="s">
        <v>820</v>
      </c>
      <c r="B614" s="65" t="n">
        <v>1</v>
      </c>
      <c r="C614" s="71" t="s">
        <v>221</v>
      </c>
      <c r="D614" s="0"/>
      <c r="E614" s="0"/>
      <c r="F614" s="0"/>
      <c r="G614" s="0"/>
      <c r="H614" s="0"/>
    </row>
    <row r="615" customFormat="false" ht="12.5" hidden="true" customHeight="false" outlineLevel="0" collapsed="false">
      <c r="A615" s="0" t="s">
        <v>821</v>
      </c>
      <c r="B615" s="65" t="n">
        <v>1</v>
      </c>
      <c r="C615" s="71" t="s">
        <v>221</v>
      </c>
      <c r="D615" s="0"/>
      <c r="E615" s="0"/>
      <c r="F615" s="0"/>
      <c r="G615" s="0"/>
      <c r="H615" s="0"/>
    </row>
    <row r="616" customFormat="false" ht="12.5" hidden="true" customHeight="false" outlineLevel="0" collapsed="false">
      <c r="A616" s="0" t="s">
        <v>822</v>
      </c>
      <c r="B616" s="65" t="n">
        <v>1</v>
      </c>
      <c r="C616" s="71" t="s">
        <v>221</v>
      </c>
      <c r="D616" s="0"/>
      <c r="E616" s="0"/>
      <c r="F616" s="0"/>
      <c r="G616" s="0"/>
      <c r="H616" s="0"/>
    </row>
    <row r="617" customFormat="false" ht="12.5" hidden="true" customHeight="false" outlineLevel="0" collapsed="false">
      <c r="A617" s="0" t="s">
        <v>823</v>
      </c>
      <c r="B617" s="65" t="n">
        <v>1</v>
      </c>
      <c r="C617" s="71" t="s">
        <v>221</v>
      </c>
      <c r="D617" s="0"/>
      <c r="E617" s="0"/>
      <c r="F617" s="0"/>
      <c r="G617" s="0"/>
      <c r="H617" s="0"/>
    </row>
    <row r="618" customFormat="false" ht="12.5" hidden="true" customHeight="false" outlineLevel="0" collapsed="false">
      <c r="A618" s="0" t="s">
        <v>824</v>
      </c>
      <c r="B618" s="65" t="n">
        <v>1</v>
      </c>
      <c r="C618" s="71" t="s">
        <v>221</v>
      </c>
      <c r="D618" s="0"/>
      <c r="E618" s="0"/>
      <c r="F618" s="0"/>
      <c r="G618" s="0"/>
      <c r="H618" s="0"/>
    </row>
    <row r="619" customFormat="false" ht="12.5" hidden="true" customHeight="false" outlineLevel="0" collapsed="false">
      <c r="A619" s="0" t="s">
        <v>825</v>
      </c>
      <c r="B619" s="65" t="n">
        <v>1</v>
      </c>
      <c r="C619" s="71" t="s">
        <v>221</v>
      </c>
      <c r="D619" s="0"/>
      <c r="E619" s="0"/>
      <c r="F619" s="0"/>
      <c r="G619" s="0"/>
      <c r="H619" s="0"/>
    </row>
    <row r="620" customFormat="false" ht="12.5" hidden="true" customHeight="false" outlineLevel="0" collapsed="false">
      <c r="A620" s="0" t="s">
        <v>826</v>
      </c>
      <c r="B620" s="65" t="n">
        <v>1</v>
      </c>
      <c r="C620" s="71" t="s">
        <v>221</v>
      </c>
      <c r="D620" s="0"/>
      <c r="E620" s="0"/>
      <c r="F620" s="0"/>
      <c r="G620" s="0"/>
      <c r="H620" s="0"/>
    </row>
    <row r="621" customFormat="false" ht="12.5" hidden="true" customHeight="false" outlineLevel="0" collapsed="false">
      <c r="A621" s="0" t="s">
        <v>827</v>
      </c>
      <c r="B621" s="65" t="n">
        <v>1</v>
      </c>
      <c r="C621" s="71" t="s">
        <v>221</v>
      </c>
      <c r="D621" s="0"/>
      <c r="E621" s="0"/>
      <c r="F621" s="0"/>
      <c r="G621" s="0"/>
      <c r="H621" s="0"/>
    </row>
    <row r="622" customFormat="false" ht="12.5" hidden="true" customHeight="false" outlineLevel="0" collapsed="false">
      <c r="A622" s="0" t="s">
        <v>828</v>
      </c>
      <c r="B622" s="65" t="n">
        <v>1</v>
      </c>
      <c r="C622" s="71" t="s">
        <v>221</v>
      </c>
      <c r="D622" s="0"/>
      <c r="E622" s="0"/>
      <c r="F622" s="0"/>
      <c r="G622" s="0"/>
      <c r="H622" s="0"/>
    </row>
    <row r="623" customFormat="false" ht="12.5" hidden="true" customHeight="false" outlineLevel="0" collapsed="false">
      <c r="A623" s="0" t="s">
        <v>829</v>
      </c>
      <c r="B623" s="65" t="n">
        <v>1</v>
      </c>
      <c r="C623" s="71" t="s">
        <v>221</v>
      </c>
      <c r="D623" s="0"/>
      <c r="E623" s="0"/>
      <c r="F623" s="0"/>
      <c r="G623" s="0"/>
      <c r="H623" s="0"/>
    </row>
    <row r="624" customFormat="false" ht="12.5" hidden="true" customHeight="false" outlineLevel="0" collapsed="false">
      <c r="A624" s="0" t="s">
        <v>830</v>
      </c>
      <c r="B624" s="65" t="n">
        <v>1</v>
      </c>
      <c r="C624" s="71" t="s">
        <v>221</v>
      </c>
      <c r="D624" s="0"/>
      <c r="E624" s="0"/>
      <c r="F624" s="0"/>
      <c r="G624" s="0"/>
      <c r="H624" s="0"/>
    </row>
    <row r="625" customFormat="false" ht="12.5" hidden="true" customHeight="false" outlineLevel="0" collapsed="false">
      <c r="A625" s="0" t="s">
        <v>831</v>
      </c>
      <c r="B625" s="65" t="n">
        <v>1</v>
      </c>
      <c r="C625" s="71" t="s">
        <v>221</v>
      </c>
      <c r="D625" s="0"/>
      <c r="E625" s="0"/>
      <c r="F625" s="0"/>
      <c r="G625" s="0"/>
      <c r="H625" s="0"/>
    </row>
    <row r="626" customFormat="false" ht="12.5" hidden="true" customHeight="false" outlineLevel="0" collapsed="false">
      <c r="A626" s="0" t="s">
        <v>832</v>
      </c>
      <c r="B626" s="65" t="n">
        <v>1</v>
      </c>
      <c r="C626" s="71" t="s">
        <v>221</v>
      </c>
      <c r="D626" s="0"/>
      <c r="E626" s="0"/>
      <c r="F626" s="0"/>
      <c r="G626" s="0"/>
      <c r="H626" s="0"/>
    </row>
    <row r="627" customFormat="false" ht="12.5" hidden="true" customHeight="false" outlineLevel="0" collapsed="false">
      <c r="A627" s="0" t="s">
        <v>833</v>
      </c>
      <c r="B627" s="65" t="n">
        <v>1</v>
      </c>
      <c r="C627" s="71" t="s">
        <v>221</v>
      </c>
      <c r="D627" s="0"/>
      <c r="E627" s="0"/>
      <c r="F627" s="0"/>
      <c r="G627" s="0"/>
      <c r="H627" s="0"/>
    </row>
    <row r="628" customFormat="false" ht="12.5" hidden="true" customHeight="false" outlineLevel="0" collapsed="false">
      <c r="A628" s="0" t="s">
        <v>834</v>
      </c>
      <c r="B628" s="65" t="n">
        <v>1</v>
      </c>
      <c r="C628" s="71" t="s">
        <v>221</v>
      </c>
      <c r="D628" s="0"/>
      <c r="E628" s="0"/>
      <c r="F628" s="0"/>
      <c r="G628" s="0"/>
      <c r="H628" s="0"/>
    </row>
    <row r="629" customFormat="false" ht="12.5" hidden="true" customHeight="false" outlineLevel="0" collapsed="false">
      <c r="A629" s="0" t="s">
        <v>835</v>
      </c>
      <c r="B629" s="65" t="n">
        <v>1</v>
      </c>
      <c r="C629" s="71" t="s">
        <v>221</v>
      </c>
      <c r="D629" s="0"/>
      <c r="E629" s="0"/>
      <c r="F629" s="0"/>
      <c r="G629" s="0"/>
      <c r="H629" s="0"/>
    </row>
    <row r="630" customFormat="false" ht="12.5" hidden="true" customHeight="false" outlineLevel="0" collapsed="false">
      <c r="A630" s="0" t="s">
        <v>836</v>
      </c>
      <c r="B630" s="65" t="n">
        <v>1</v>
      </c>
      <c r="C630" s="71" t="s">
        <v>221</v>
      </c>
      <c r="D630" s="0"/>
      <c r="E630" s="0"/>
      <c r="F630" s="0"/>
      <c r="G630" s="0"/>
      <c r="H630" s="0"/>
    </row>
    <row r="631" customFormat="false" ht="12.5" hidden="true" customHeight="false" outlineLevel="0" collapsed="false">
      <c r="A631" s="0" t="s">
        <v>837</v>
      </c>
      <c r="B631" s="65" t="n">
        <v>1</v>
      </c>
      <c r="C631" s="71" t="s">
        <v>221</v>
      </c>
      <c r="D631" s="0"/>
      <c r="E631" s="0"/>
      <c r="F631" s="0"/>
      <c r="G631" s="0"/>
      <c r="H631" s="0"/>
    </row>
    <row r="632" customFormat="false" ht="12.5" hidden="true" customHeight="false" outlineLevel="0" collapsed="false">
      <c r="A632" s="0" t="s">
        <v>838</v>
      </c>
      <c r="B632" s="65" t="n">
        <v>1</v>
      </c>
      <c r="C632" s="71" t="s">
        <v>221</v>
      </c>
      <c r="D632" s="0"/>
      <c r="E632" s="0"/>
      <c r="F632" s="0"/>
      <c r="G632" s="0"/>
      <c r="H632" s="0"/>
    </row>
    <row r="633" customFormat="false" ht="12.5" hidden="true" customHeight="false" outlineLevel="0" collapsed="false">
      <c r="A633" s="0" t="s">
        <v>839</v>
      </c>
      <c r="B633" s="65" t="n">
        <v>1</v>
      </c>
      <c r="C633" s="71" t="s">
        <v>221</v>
      </c>
      <c r="D633" s="0"/>
      <c r="E633" s="0"/>
      <c r="F633" s="0"/>
      <c r="G633" s="0"/>
      <c r="H633" s="0"/>
    </row>
    <row r="634" customFormat="false" ht="12.5" hidden="true" customHeight="false" outlineLevel="0" collapsed="false">
      <c r="A634" s="0" t="s">
        <v>840</v>
      </c>
      <c r="B634" s="65" t="n">
        <v>1</v>
      </c>
      <c r="C634" s="71" t="s">
        <v>221</v>
      </c>
      <c r="D634" s="0"/>
      <c r="E634" s="0"/>
      <c r="F634" s="0"/>
      <c r="G634" s="0"/>
      <c r="H634" s="0"/>
    </row>
    <row r="635" customFormat="false" ht="12.5" hidden="true" customHeight="false" outlineLevel="0" collapsed="false">
      <c r="A635" s="0" t="s">
        <v>841</v>
      </c>
      <c r="B635" s="65" t="n">
        <v>1</v>
      </c>
      <c r="C635" s="71" t="s">
        <v>221</v>
      </c>
      <c r="D635" s="0"/>
      <c r="E635" s="0"/>
      <c r="F635" s="0"/>
      <c r="G635" s="0"/>
      <c r="H635" s="0"/>
    </row>
    <row r="636" customFormat="false" ht="12.5" hidden="true" customHeight="false" outlineLevel="0" collapsed="false">
      <c r="A636" s="0" t="s">
        <v>842</v>
      </c>
      <c r="B636" s="65" t="n">
        <v>1</v>
      </c>
      <c r="C636" s="71" t="s">
        <v>221</v>
      </c>
      <c r="D636" s="0"/>
      <c r="E636" s="0"/>
      <c r="F636" s="0"/>
      <c r="G636" s="0"/>
      <c r="H636" s="0"/>
    </row>
    <row r="637" customFormat="false" ht="12.5" hidden="true" customHeight="false" outlineLevel="0" collapsed="false">
      <c r="A637" s="0" t="s">
        <v>843</v>
      </c>
      <c r="B637" s="65" t="n">
        <v>1</v>
      </c>
      <c r="C637" s="71" t="s">
        <v>221</v>
      </c>
      <c r="D637" s="0"/>
      <c r="E637" s="0"/>
      <c r="F637" s="0"/>
      <c r="G637" s="0"/>
      <c r="H637" s="0"/>
    </row>
    <row r="638" customFormat="false" ht="12.5" hidden="true" customHeight="false" outlineLevel="0" collapsed="false">
      <c r="A638" s="0" t="s">
        <v>844</v>
      </c>
      <c r="B638" s="65" t="n">
        <v>1</v>
      </c>
      <c r="C638" s="71" t="s">
        <v>221</v>
      </c>
      <c r="D638" s="0"/>
      <c r="E638" s="0"/>
      <c r="F638" s="0"/>
      <c r="G638" s="0"/>
      <c r="H638" s="0"/>
    </row>
    <row r="639" customFormat="false" ht="12.5" hidden="true" customHeight="false" outlineLevel="0" collapsed="false">
      <c r="A639" s="0" t="s">
        <v>845</v>
      </c>
      <c r="B639" s="65" t="n">
        <v>1</v>
      </c>
      <c r="C639" s="71" t="s">
        <v>221</v>
      </c>
      <c r="D639" s="0"/>
      <c r="E639" s="0"/>
      <c r="F639" s="0"/>
      <c r="G639" s="0"/>
      <c r="H639" s="0"/>
    </row>
    <row r="640" customFormat="false" ht="12.5" hidden="true" customHeight="false" outlineLevel="0" collapsed="false">
      <c r="A640" s="0" t="s">
        <v>846</v>
      </c>
      <c r="B640" s="65" t="n">
        <v>1</v>
      </c>
      <c r="C640" s="71" t="s">
        <v>221</v>
      </c>
      <c r="D640" s="0"/>
      <c r="E640" s="0"/>
      <c r="F640" s="0"/>
      <c r="G640" s="0"/>
      <c r="H640" s="0"/>
    </row>
    <row r="641" customFormat="false" ht="12.5" hidden="true" customHeight="false" outlineLevel="0" collapsed="false">
      <c r="A641" s="0" t="s">
        <v>847</v>
      </c>
      <c r="B641" s="65" t="n">
        <v>1</v>
      </c>
      <c r="C641" s="71" t="s">
        <v>221</v>
      </c>
      <c r="D641" s="0"/>
      <c r="E641" s="0"/>
      <c r="F641" s="0"/>
      <c r="G641" s="0"/>
      <c r="H641" s="0"/>
    </row>
    <row r="642" customFormat="false" ht="12.5" hidden="true" customHeight="false" outlineLevel="0" collapsed="false">
      <c r="A642" s="0" t="s">
        <v>848</v>
      </c>
      <c r="B642" s="65" t="n">
        <v>1</v>
      </c>
      <c r="C642" s="71" t="s">
        <v>221</v>
      </c>
      <c r="D642" s="0"/>
      <c r="E642" s="0"/>
      <c r="F642" s="0"/>
      <c r="G642" s="0"/>
      <c r="H642" s="0"/>
    </row>
    <row r="643" customFormat="false" ht="12.5" hidden="true" customHeight="false" outlineLevel="0" collapsed="false">
      <c r="A643" s="0" t="s">
        <v>849</v>
      </c>
      <c r="B643" s="65" t="n">
        <v>1</v>
      </c>
      <c r="C643" s="71" t="s">
        <v>221</v>
      </c>
      <c r="D643" s="0"/>
      <c r="E643" s="0"/>
      <c r="F643" s="0"/>
      <c r="G643" s="0"/>
      <c r="H643" s="0"/>
    </row>
    <row r="644" customFormat="false" ht="12.5" hidden="true" customHeight="false" outlineLevel="0" collapsed="false">
      <c r="A644" s="0" t="s">
        <v>850</v>
      </c>
      <c r="B644" s="65" t="n">
        <v>1</v>
      </c>
      <c r="C644" s="71" t="s">
        <v>221</v>
      </c>
      <c r="D644" s="0"/>
      <c r="E644" s="0"/>
      <c r="F644" s="0"/>
      <c r="G644" s="0"/>
      <c r="H644" s="0"/>
    </row>
    <row r="645" customFormat="false" ht="12.5" hidden="true" customHeight="false" outlineLevel="0" collapsed="false">
      <c r="A645" s="0" t="s">
        <v>851</v>
      </c>
      <c r="B645" s="65" t="n">
        <v>1</v>
      </c>
      <c r="C645" s="71" t="s">
        <v>221</v>
      </c>
      <c r="D645" s="0"/>
      <c r="E645" s="0"/>
      <c r="F645" s="0"/>
      <c r="G645" s="0"/>
      <c r="H645" s="0"/>
    </row>
    <row r="646" customFormat="false" ht="12.5" hidden="true" customHeight="false" outlineLevel="0" collapsed="false">
      <c r="A646" s="0" t="s">
        <v>852</v>
      </c>
      <c r="B646" s="65" t="n">
        <v>1</v>
      </c>
      <c r="C646" s="71" t="s">
        <v>221</v>
      </c>
      <c r="D646" s="0"/>
      <c r="E646" s="0"/>
      <c r="F646" s="0"/>
      <c r="G646" s="0"/>
      <c r="H646" s="0"/>
    </row>
    <row r="647" customFormat="false" ht="12.5" hidden="true" customHeight="false" outlineLevel="0" collapsed="false">
      <c r="A647" s="0" t="s">
        <v>853</v>
      </c>
      <c r="B647" s="65" t="n">
        <v>1</v>
      </c>
      <c r="C647" s="71" t="s">
        <v>221</v>
      </c>
      <c r="D647" s="0"/>
      <c r="E647" s="0"/>
      <c r="F647" s="0"/>
      <c r="G647" s="0"/>
      <c r="H647" s="0"/>
    </row>
    <row r="648" customFormat="false" ht="12.5" hidden="true" customHeight="false" outlineLevel="0" collapsed="false">
      <c r="A648" s="0" t="s">
        <v>854</v>
      </c>
      <c r="B648" s="65" t="n">
        <v>1</v>
      </c>
      <c r="C648" s="71" t="s">
        <v>221</v>
      </c>
      <c r="D648" s="0"/>
      <c r="E648" s="0"/>
      <c r="F648" s="0"/>
      <c r="G648" s="0"/>
      <c r="H648" s="0"/>
    </row>
    <row r="649" customFormat="false" ht="12.5" hidden="true" customHeight="false" outlineLevel="0" collapsed="false">
      <c r="A649" s="0" t="s">
        <v>855</v>
      </c>
      <c r="B649" s="65" t="n">
        <v>1</v>
      </c>
      <c r="C649" s="71" t="s">
        <v>221</v>
      </c>
      <c r="D649" s="0"/>
      <c r="E649" s="0"/>
      <c r="F649" s="0"/>
      <c r="G649" s="0"/>
      <c r="H649" s="0"/>
    </row>
    <row r="650" customFormat="false" ht="12.5" hidden="true" customHeight="false" outlineLevel="0" collapsed="false">
      <c r="A650" s="0" t="s">
        <v>856</v>
      </c>
      <c r="B650" s="65" t="n">
        <v>1</v>
      </c>
      <c r="C650" s="71" t="s">
        <v>221</v>
      </c>
      <c r="D650" s="0"/>
      <c r="E650" s="0"/>
      <c r="F650" s="0"/>
      <c r="G650" s="0"/>
      <c r="H650" s="0"/>
    </row>
    <row r="651" customFormat="false" ht="12.5" hidden="true" customHeight="false" outlineLevel="0" collapsed="false">
      <c r="A651" s="0" t="s">
        <v>857</v>
      </c>
      <c r="B651" s="65" t="n">
        <v>1</v>
      </c>
      <c r="C651" s="71" t="s">
        <v>221</v>
      </c>
      <c r="D651" s="0"/>
      <c r="E651" s="0"/>
      <c r="F651" s="0"/>
      <c r="G651" s="0"/>
      <c r="H651" s="0"/>
    </row>
    <row r="652" customFormat="false" ht="12.5" hidden="true" customHeight="false" outlineLevel="0" collapsed="false">
      <c r="A652" s="0" t="s">
        <v>858</v>
      </c>
      <c r="B652" s="65" t="n">
        <v>1</v>
      </c>
      <c r="C652" s="71" t="s">
        <v>221</v>
      </c>
      <c r="D652" s="0"/>
      <c r="E652" s="0"/>
      <c r="F652" s="0"/>
      <c r="G652" s="0"/>
      <c r="H652" s="0"/>
    </row>
    <row r="653" customFormat="false" ht="12.5" hidden="true" customHeight="false" outlineLevel="0" collapsed="false">
      <c r="A653" s="0" t="s">
        <v>859</v>
      </c>
      <c r="B653" s="65" t="n">
        <v>1</v>
      </c>
      <c r="C653" s="71" t="s">
        <v>221</v>
      </c>
      <c r="D653" s="0"/>
      <c r="E653" s="0"/>
      <c r="F653" s="0"/>
      <c r="G653" s="0"/>
      <c r="H653" s="0"/>
    </row>
    <row r="654" customFormat="false" ht="12.5" hidden="true" customHeight="false" outlineLevel="0" collapsed="false">
      <c r="A654" s="0" t="s">
        <v>860</v>
      </c>
      <c r="B654" s="65" t="n">
        <v>1</v>
      </c>
      <c r="C654" s="71" t="s">
        <v>221</v>
      </c>
      <c r="D654" s="0"/>
      <c r="E654" s="0"/>
      <c r="F654" s="0"/>
      <c r="G654" s="0"/>
      <c r="H654" s="0"/>
    </row>
    <row r="655" customFormat="false" ht="12.5" hidden="true" customHeight="false" outlineLevel="0" collapsed="false">
      <c r="A655" s="0" t="s">
        <v>861</v>
      </c>
      <c r="B655" s="65" t="n">
        <v>1</v>
      </c>
      <c r="C655" s="71" t="s">
        <v>221</v>
      </c>
      <c r="D655" s="0"/>
      <c r="E655" s="0"/>
      <c r="F655" s="0"/>
      <c r="G655" s="0"/>
      <c r="H655" s="0"/>
    </row>
    <row r="656" customFormat="false" ht="12.5" hidden="true" customHeight="false" outlineLevel="0" collapsed="false">
      <c r="A656" s="0" t="s">
        <v>862</v>
      </c>
      <c r="B656" s="65" t="n">
        <v>1</v>
      </c>
      <c r="C656" s="71" t="s">
        <v>221</v>
      </c>
      <c r="D656" s="0"/>
      <c r="E656" s="0"/>
      <c r="F656" s="0"/>
      <c r="G656" s="0"/>
      <c r="H656" s="0"/>
    </row>
    <row r="657" customFormat="false" ht="12.5" hidden="true" customHeight="false" outlineLevel="0" collapsed="false">
      <c r="A657" s="0" t="s">
        <v>863</v>
      </c>
      <c r="B657" s="65" t="n">
        <v>1</v>
      </c>
      <c r="C657" s="71" t="s">
        <v>221</v>
      </c>
      <c r="D657" s="0"/>
      <c r="E657" s="0"/>
      <c r="F657" s="0"/>
      <c r="G657" s="0"/>
      <c r="H657" s="0"/>
    </row>
    <row r="658" customFormat="false" ht="12.5" hidden="true" customHeight="false" outlineLevel="0" collapsed="false">
      <c r="A658" s="0" t="s">
        <v>864</v>
      </c>
      <c r="B658" s="65" t="n">
        <v>1</v>
      </c>
      <c r="C658" s="71" t="s">
        <v>221</v>
      </c>
      <c r="D658" s="0"/>
      <c r="E658" s="0"/>
      <c r="F658" s="0"/>
      <c r="G658" s="0"/>
      <c r="H658" s="0"/>
    </row>
    <row r="659" customFormat="false" ht="12.5" hidden="true" customHeight="false" outlineLevel="0" collapsed="false">
      <c r="A659" s="0" t="s">
        <v>865</v>
      </c>
      <c r="B659" s="65" t="n">
        <v>1</v>
      </c>
      <c r="C659" s="71" t="s">
        <v>221</v>
      </c>
      <c r="D659" s="0"/>
      <c r="E659" s="0"/>
      <c r="F659" s="0"/>
      <c r="G659" s="0"/>
      <c r="H659" s="0"/>
    </row>
    <row r="660" customFormat="false" ht="12.5" hidden="true" customHeight="false" outlineLevel="0" collapsed="false">
      <c r="A660" s="0" t="s">
        <v>866</v>
      </c>
      <c r="B660" s="65" t="n">
        <v>1</v>
      </c>
      <c r="C660" s="71" t="s">
        <v>221</v>
      </c>
      <c r="D660" s="0"/>
      <c r="E660" s="0"/>
      <c r="F660" s="0"/>
      <c r="G660" s="0"/>
      <c r="H660" s="0"/>
    </row>
    <row r="661" customFormat="false" ht="12.5" hidden="true" customHeight="false" outlineLevel="0" collapsed="false">
      <c r="A661" s="0" t="s">
        <v>867</v>
      </c>
      <c r="B661" s="65" t="n">
        <v>1</v>
      </c>
      <c r="C661" s="71" t="s">
        <v>221</v>
      </c>
      <c r="D661" s="0"/>
      <c r="E661" s="0"/>
      <c r="F661" s="0"/>
      <c r="G661" s="0"/>
      <c r="H661" s="0"/>
    </row>
    <row r="662" customFormat="false" ht="12.5" hidden="true" customHeight="false" outlineLevel="0" collapsed="false">
      <c r="A662" s="0" t="s">
        <v>868</v>
      </c>
      <c r="B662" s="65" t="n">
        <v>1</v>
      </c>
      <c r="C662" s="71" t="s">
        <v>221</v>
      </c>
      <c r="D662" s="0"/>
      <c r="E662" s="0"/>
      <c r="F662" s="0"/>
      <c r="G662" s="0"/>
      <c r="H662" s="0"/>
    </row>
    <row r="663" customFormat="false" ht="12.5" hidden="true" customHeight="false" outlineLevel="0" collapsed="false">
      <c r="A663" s="0" t="s">
        <v>869</v>
      </c>
      <c r="B663" s="65" t="n">
        <v>1</v>
      </c>
      <c r="C663" s="71" t="s">
        <v>221</v>
      </c>
      <c r="D663" s="0"/>
      <c r="E663" s="0"/>
      <c r="F663" s="0"/>
      <c r="G663" s="0"/>
      <c r="H663" s="0"/>
    </row>
    <row r="664" customFormat="false" ht="12.5" hidden="true" customHeight="false" outlineLevel="0" collapsed="false">
      <c r="A664" s="0" t="s">
        <v>870</v>
      </c>
      <c r="B664" s="65" t="n">
        <v>1</v>
      </c>
      <c r="C664" s="71" t="s">
        <v>221</v>
      </c>
      <c r="D664" s="0"/>
      <c r="E664" s="0"/>
      <c r="F664" s="0"/>
      <c r="G664" s="0"/>
      <c r="H664" s="0"/>
    </row>
    <row r="665" customFormat="false" ht="12.5" hidden="true" customHeight="false" outlineLevel="0" collapsed="false">
      <c r="A665" s="0" t="s">
        <v>871</v>
      </c>
      <c r="B665" s="65" t="n">
        <v>1</v>
      </c>
      <c r="C665" s="71" t="s">
        <v>221</v>
      </c>
      <c r="D665" s="0"/>
      <c r="E665" s="0"/>
      <c r="F665" s="0"/>
      <c r="G665" s="0"/>
      <c r="H665" s="0"/>
    </row>
    <row r="666" customFormat="false" ht="12.5" hidden="true" customHeight="false" outlineLevel="0" collapsed="false">
      <c r="A666" s="0" t="s">
        <v>872</v>
      </c>
      <c r="B666" s="65" t="n">
        <v>1</v>
      </c>
      <c r="C666" s="71" t="s">
        <v>221</v>
      </c>
      <c r="D666" s="0"/>
      <c r="E666" s="0"/>
      <c r="F666" s="0"/>
      <c r="G666" s="0"/>
      <c r="H666" s="0"/>
    </row>
    <row r="667" customFormat="false" ht="12.5" hidden="true" customHeight="false" outlineLevel="0" collapsed="false">
      <c r="A667" s="0" t="s">
        <v>873</v>
      </c>
      <c r="B667" s="65" t="n">
        <v>1</v>
      </c>
      <c r="C667" s="71" t="s">
        <v>221</v>
      </c>
      <c r="D667" s="0"/>
      <c r="E667" s="0"/>
      <c r="F667" s="0"/>
      <c r="G667" s="0"/>
      <c r="H667" s="0"/>
    </row>
    <row r="668" customFormat="false" ht="12.5" hidden="true" customHeight="false" outlineLevel="0" collapsed="false">
      <c r="A668" s="0" t="s">
        <v>874</v>
      </c>
      <c r="B668" s="65" t="n">
        <v>1</v>
      </c>
      <c r="C668" s="71" t="s">
        <v>221</v>
      </c>
      <c r="D668" s="0"/>
      <c r="E668" s="0"/>
      <c r="F668" s="0"/>
      <c r="G668" s="0"/>
      <c r="H668" s="0"/>
    </row>
    <row r="669" customFormat="false" ht="12.5" hidden="true" customHeight="false" outlineLevel="0" collapsed="false">
      <c r="A669" s="0" t="s">
        <v>875</v>
      </c>
      <c r="B669" s="65" t="n">
        <v>1</v>
      </c>
      <c r="C669" s="71" t="s">
        <v>221</v>
      </c>
      <c r="D669" s="0"/>
      <c r="E669" s="0"/>
      <c r="F669" s="0"/>
      <c r="G669" s="0"/>
      <c r="H669" s="0"/>
    </row>
    <row r="670" customFormat="false" ht="12.5" hidden="true" customHeight="false" outlineLevel="0" collapsed="false">
      <c r="A670" s="0" t="s">
        <v>876</v>
      </c>
      <c r="B670" s="65" t="n">
        <v>1</v>
      </c>
      <c r="C670" s="71" t="s">
        <v>221</v>
      </c>
      <c r="D670" s="0"/>
      <c r="E670" s="0"/>
      <c r="F670" s="0"/>
      <c r="G670" s="0"/>
      <c r="H670" s="0"/>
    </row>
    <row r="671" customFormat="false" ht="12.5" hidden="true" customHeight="false" outlineLevel="0" collapsed="false">
      <c r="A671" s="0" t="s">
        <v>877</v>
      </c>
      <c r="B671" s="65" t="n">
        <v>1</v>
      </c>
      <c r="C671" s="71" t="s">
        <v>221</v>
      </c>
      <c r="D671" s="0"/>
      <c r="E671" s="0"/>
      <c r="F671" s="0"/>
      <c r="G671" s="0"/>
      <c r="H671" s="0"/>
    </row>
    <row r="672" customFormat="false" ht="12.5" hidden="true" customHeight="false" outlineLevel="0" collapsed="false">
      <c r="A672" s="0" t="s">
        <v>878</v>
      </c>
      <c r="B672" s="65" t="n">
        <v>1</v>
      </c>
      <c r="C672" s="71" t="s">
        <v>221</v>
      </c>
      <c r="D672" s="0"/>
      <c r="E672" s="0"/>
      <c r="F672" s="0"/>
      <c r="G672" s="0"/>
      <c r="H672" s="0"/>
    </row>
    <row r="673" customFormat="false" ht="12.5" hidden="true" customHeight="false" outlineLevel="0" collapsed="false">
      <c r="A673" s="0" t="s">
        <v>879</v>
      </c>
      <c r="B673" s="65" t="n">
        <v>1</v>
      </c>
      <c r="C673" s="71" t="s">
        <v>221</v>
      </c>
      <c r="D673" s="0"/>
      <c r="E673" s="0"/>
      <c r="F673" s="0"/>
      <c r="G673" s="0"/>
      <c r="H673" s="0"/>
    </row>
    <row r="674" customFormat="false" ht="12.5" hidden="true" customHeight="false" outlineLevel="0" collapsed="false">
      <c r="A674" s="0" t="s">
        <v>880</v>
      </c>
      <c r="B674" s="65" t="n">
        <v>1</v>
      </c>
      <c r="C674" s="71" t="s">
        <v>221</v>
      </c>
      <c r="D674" s="0"/>
      <c r="E674" s="0"/>
      <c r="F674" s="0"/>
      <c r="G674" s="0"/>
      <c r="H674" s="0"/>
    </row>
    <row r="675" customFormat="false" ht="12.5" hidden="true" customHeight="false" outlineLevel="0" collapsed="false">
      <c r="A675" s="0" t="s">
        <v>881</v>
      </c>
      <c r="B675" s="65" t="n">
        <v>1</v>
      </c>
      <c r="C675" s="71" t="s">
        <v>221</v>
      </c>
      <c r="D675" s="0"/>
      <c r="E675" s="0"/>
      <c r="F675" s="0"/>
      <c r="G675" s="0"/>
      <c r="H675" s="0"/>
    </row>
    <row r="676" customFormat="false" ht="12.5" hidden="true" customHeight="false" outlineLevel="0" collapsed="false">
      <c r="A676" s="0" t="s">
        <v>882</v>
      </c>
      <c r="B676" s="65" t="n">
        <v>1</v>
      </c>
      <c r="C676" s="71" t="s">
        <v>221</v>
      </c>
      <c r="D676" s="0"/>
      <c r="E676" s="0"/>
      <c r="F676" s="0"/>
      <c r="G676" s="0"/>
      <c r="H676" s="0"/>
    </row>
    <row r="677" customFormat="false" ht="12.5" hidden="true" customHeight="false" outlineLevel="0" collapsed="false">
      <c r="A677" s="0" t="s">
        <v>883</v>
      </c>
      <c r="B677" s="65" t="n">
        <v>1</v>
      </c>
      <c r="C677" s="71" t="s">
        <v>221</v>
      </c>
      <c r="D677" s="0"/>
      <c r="E677" s="0"/>
      <c r="F677" s="0"/>
      <c r="G677" s="0"/>
      <c r="H677" s="0"/>
    </row>
    <row r="678" customFormat="false" ht="12.5" hidden="true" customHeight="false" outlineLevel="0" collapsed="false">
      <c r="A678" s="0" t="s">
        <v>884</v>
      </c>
      <c r="B678" s="65" t="n">
        <v>1</v>
      </c>
      <c r="C678" s="71" t="s">
        <v>221</v>
      </c>
      <c r="D678" s="0"/>
      <c r="E678" s="0"/>
      <c r="F678" s="0"/>
      <c r="G678" s="0"/>
      <c r="H678" s="0"/>
    </row>
    <row r="679" customFormat="false" ht="12.5" hidden="true" customHeight="false" outlineLevel="0" collapsed="false">
      <c r="A679" s="0" t="s">
        <v>885</v>
      </c>
      <c r="B679" s="65" t="n">
        <v>1</v>
      </c>
      <c r="C679" s="71" t="s">
        <v>221</v>
      </c>
      <c r="D679" s="0"/>
      <c r="E679" s="0"/>
      <c r="F679" s="0"/>
      <c r="G679" s="0"/>
      <c r="H679" s="0"/>
    </row>
    <row r="680" customFormat="false" ht="12.5" hidden="true" customHeight="false" outlineLevel="0" collapsed="false">
      <c r="A680" s="0" t="s">
        <v>886</v>
      </c>
      <c r="B680" s="65" t="n">
        <v>1</v>
      </c>
      <c r="C680" s="71" t="s">
        <v>221</v>
      </c>
      <c r="D680" s="0"/>
      <c r="E680" s="0"/>
      <c r="F680" s="0"/>
      <c r="G680" s="0"/>
      <c r="H680" s="0"/>
    </row>
    <row r="681" customFormat="false" ht="12.5" hidden="true" customHeight="false" outlineLevel="0" collapsed="false">
      <c r="A681" s="0" t="s">
        <v>887</v>
      </c>
      <c r="B681" s="65" t="n">
        <v>1</v>
      </c>
      <c r="C681" s="71" t="s">
        <v>221</v>
      </c>
      <c r="D681" s="0"/>
      <c r="E681" s="0"/>
      <c r="F681" s="0"/>
      <c r="G681" s="0"/>
      <c r="H681" s="0"/>
    </row>
    <row r="682" customFormat="false" ht="12.5" hidden="true" customHeight="false" outlineLevel="0" collapsed="false">
      <c r="A682" s="0" t="s">
        <v>888</v>
      </c>
      <c r="B682" s="65" t="n">
        <v>1</v>
      </c>
      <c r="C682" s="71" t="s">
        <v>221</v>
      </c>
      <c r="D682" s="0"/>
      <c r="E682" s="0"/>
      <c r="F682" s="0"/>
      <c r="G682" s="0"/>
      <c r="H682" s="0"/>
    </row>
    <row r="683" customFormat="false" ht="12.5" hidden="true" customHeight="false" outlineLevel="0" collapsed="false">
      <c r="A683" s="0" t="s">
        <v>889</v>
      </c>
      <c r="B683" s="65" t="n">
        <v>1</v>
      </c>
      <c r="C683" s="71" t="s">
        <v>221</v>
      </c>
      <c r="D683" s="0"/>
      <c r="E683" s="0"/>
      <c r="F683" s="0"/>
      <c r="G683" s="0"/>
      <c r="H683" s="0"/>
    </row>
    <row r="684" customFormat="false" ht="12.5" hidden="true" customHeight="false" outlineLevel="0" collapsed="false">
      <c r="A684" s="0" t="s">
        <v>890</v>
      </c>
      <c r="B684" s="65" t="n">
        <v>1</v>
      </c>
      <c r="C684" s="71" t="s">
        <v>221</v>
      </c>
      <c r="D684" s="0"/>
      <c r="E684" s="0"/>
      <c r="F684" s="0"/>
      <c r="G684" s="0"/>
      <c r="H684" s="0"/>
    </row>
    <row r="685" customFormat="false" ht="12.5" hidden="true" customHeight="false" outlineLevel="0" collapsed="false">
      <c r="A685" s="0" t="s">
        <v>891</v>
      </c>
      <c r="B685" s="65" t="n">
        <v>1</v>
      </c>
      <c r="C685" s="71" t="s">
        <v>221</v>
      </c>
      <c r="D685" s="0"/>
      <c r="E685" s="0"/>
      <c r="F685" s="0"/>
      <c r="G685" s="0"/>
      <c r="H685" s="0"/>
    </row>
    <row r="686" customFormat="false" ht="12.5" hidden="true" customHeight="false" outlineLevel="0" collapsed="false">
      <c r="A686" s="0" t="s">
        <v>892</v>
      </c>
      <c r="B686" s="65" t="n">
        <v>1</v>
      </c>
      <c r="C686" s="71" t="s">
        <v>221</v>
      </c>
      <c r="D686" s="0"/>
      <c r="E686" s="0"/>
      <c r="F686" s="0"/>
      <c r="G686" s="0"/>
      <c r="H686" s="0"/>
    </row>
    <row r="687" customFormat="false" ht="12.5" hidden="true" customHeight="false" outlineLevel="0" collapsed="false">
      <c r="A687" s="0" t="s">
        <v>893</v>
      </c>
      <c r="B687" s="65" t="n">
        <v>1</v>
      </c>
      <c r="C687" s="71" t="s">
        <v>221</v>
      </c>
      <c r="D687" s="0"/>
      <c r="E687" s="0"/>
      <c r="F687" s="0"/>
      <c r="G687" s="0"/>
      <c r="H687" s="0"/>
    </row>
    <row r="688" customFormat="false" ht="12.5" hidden="true" customHeight="false" outlineLevel="0" collapsed="false">
      <c r="A688" s="0" t="s">
        <v>894</v>
      </c>
      <c r="B688" s="65" t="n">
        <v>1</v>
      </c>
      <c r="C688" s="71" t="s">
        <v>221</v>
      </c>
      <c r="D688" s="0"/>
      <c r="E688" s="0"/>
      <c r="F688" s="0"/>
      <c r="G688" s="0"/>
      <c r="H688" s="0"/>
    </row>
    <row r="689" customFormat="false" ht="12.5" hidden="true" customHeight="false" outlineLevel="0" collapsed="false">
      <c r="A689" s="0" t="s">
        <v>895</v>
      </c>
      <c r="B689" s="65" t="n">
        <v>1</v>
      </c>
      <c r="C689" s="71" t="s">
        <v>221</v>
      </c>
      <c r="D689" s="0"/>
      <c r="E689" s="0"/>
      <c r="F689" s="0"/>
      <c r="G689" s="0"/>
      <c r="H689" s="0"/>
    </row>
    <row r="690" customFormat="false" ht="12.5" hidden="true" customHeight="false" outlineLevel="0" collapsed="false">
      <c r="A690" s="0" t="s">
        <v>896</v>
      </c>
      <c r="B690" s="65" t="n">
        <v>1</v>
      </c>
      <c r="C690" s="71" t="s">
        <v>221</v>
      </c>
      <c r="D690" s="0"/>
      <c r="E690" s="0"/>
      <c r="F690" s="0"/>
      <c r="G690" s="0"/>
      <c r="H690" s="0"/>
    </row>
    <row r="691" customFormat="false" ht="12.5" hidden="true" customHeight="false" outlineLevel="0" collapsed="false">
      <c r="A691" s="0" t="s">
        <v>897</v>
      </c>
      <c r="B691" s="65" t="n">
        <v>1</v>
      </c>
      <c r="C691" s="71" t="s">
        <v>221</v>
      </c>
      <c r="D691" s="0"/>
      <c r="E691" s="0"/>
      <c r="F691" s="0"/>
      <c r="G691" s="0"/>
      <c r="H691" s="0"/>
    </row>
    <row r="692" customFormat="false" ht="12.5" hidden="true" customHeight="false" outlineLevel="0" collapsed="false">
      <c r="A692" s="0" t="s">
        <v>898</v>
      </c>
      <c r="B692" s="65" t="n">
        <v>1</v>
      </c>
      <c r="C692" s="71" t="s">
        <v>221</v>
      </c>
      <c r="D692" s="0"/>
      <c r="E692" s="0"/>
      <c r="F692" s="0"/>
      <c r="G692" s="0"/>
      <c r="H692" s="0"/>
    </row>
    <row r="693" customFormat="false" ht="12.5" hidden="true" customHeight="false" outlineLevel="0" collapsed="false">
      <c r="A693" s="0" t="s">
        <v>899</v>
      </c>
      <c r="B693" s="65" t="n">
        <v>1</v>
      </c>
      <c r="C693" s="71" t="s">
        <v>221</v>
      </c>
      <c r="D693" s="0"/>
      <c r="E693" s="0"/>
      <c r="F693" s="0"/>
      <c r="G693" s="0"/>
      <c r="H693" s="0"/>
    </row>
    <row r="694" customFormat="false" ht="12.5" hidden="true" customHeight="false" outlineLevel="0" collapsed="false">
      <c r="A694" s="0" t="s">
        <v>900</v>
      </c>
      <c r="B694" s="65" t="n">
        <v>1</v>
      </c>
      <c r="C694" s="71" t="s">
        <v>221</v>
      </c>
      <c r="D694" s="0"/>
      <c r="E694" s="0"/>
      <c r="F694" s="0"/>
      <c r="G694" s="0"/>
      <c r="H694" s="0"/>
    </row>
    <row r="695" customFormat="false" ht="12.5" hidden="true" customHeight="false" outlineLevel="0" collapsed="false">
      <c r="A695" s="0" t="s">
        <v>901</v>
      </c>
      <c r="B695" s="65" t="n">
        <v>1</v>
      </c>
      <c r="C695" s="71" t="s">
        <v>221</v>
      </c>
      <c r="D695" s="0"/>
      <c r="E695" s="0"/>
      <c r="F695" s="0"/>
      <c r="G695" s="0"/>
      <c r="H695" s="0"/>
    </row>
    <row r="696" customFormat="false" ht="12.5" hidden="true" customHeight="false" outlineLevel="0" collapsed="false">
      <c r="A696" s="0" t="s">
        <v>902</v>
      </c>
      <c r="B696" s="65" t="n">
        <v>1</v>
      </c>
      <c r="C696" s="71" t="s">
        <v>221</v>
      </c>
      <c r="D696" s="0"/>
      <c r="E696" s="0"/>
      <c r="F696" s="0"/>
      <c r="G696" s="0"/>
      <c r="H696" s="0"/>
    </row>
    <row r="697" customFormat="false" ht="12.5" hidden="true" customHeight="false" outlineLevel="0" collapsed="false">
      <c r="A697" s="0" t="s">
        <v>903</v>
      </c>
      <c r="B697" s="65" t="n">
        <v>1</v>
      </c>
      <c r="C697" s="71" t="s">
        <v>221</v>
      </c>
      <c r="D697" s="0"/>
      <c r="E697" s="0"/>
      <c r="F697" s="0"/>
      <c r="G697" s="0"/>
      <c r="H697" s="0"/>
    </row>
    <row r="698" customFormat="false" ht="12.5" hidden="true" customHeight="false" outlineLevel="0" collapsed="false">
      <c r="A698" s="0" t="s">
        <v>904</v>
      </c>
      <c r="B698" s="65" t="n">
        <v>1</v>
      </c>
      <c r="C698" s="71" t="s">
        <v>221</v>
      </c>
      <c r="D698" s="0"/>
      <c r="E698" s="0"/>
      <c r="F698" s="0"/>
      <c r="G698" s="0"/>
      <c r="H698" s="0"/>
    </row>
    <row r="699" customFormat="false" ht="12.5" hidden="true" customHeight="false" outlineLevel="0" collapsed="false">
      <c r="A699" s="0" t="s">
        <v>905</v>
      </c>
      <c r="B699" s="65" t="n">
        <v>1</v>
      </c>
      <c r="C699" s="71" t="s">
        <v>221</v>
      </c>
      <c r="D699" s="0"/>
      <c r="E699" s="0"/>
      <c r="F699" s="0"/>
      <c r="G699" s="0"/>
      <c r="H699" s="0"/>
    </row>
    <row r="700" customFormat="false" ht="12.5" hidden="true" customHeight="false" outlineLevel="0" collapsed="false">
      <c r="A700" s="0" t="s">
        <v>906</v>
      </c>
      <c r="B700" s="65" t="n">
        <v>1</v>
      </c>
      <c r="C700" s="71" t="s">
        <v>221</v>
      </c>
      <c r="D700" s="0"/>
      <c r="E700" s="0"/>
      <c r="F700" s="0"/>
      <c r="G700" s="0"/>
      <c r="H700" s="0"/>
    </row>
    <row r="701" customFormat="false" ht="12.5" hidden="true" customHeight="false" outlineLevel="0" collapsed="false">
      <c r="A701" s="0" t="s">
        <v>907</v>
      </c>
      <c r="B701" s="65" t="n">
        <v>1</v>
      </c>
      <c r="C701" s="71" t="s">
        <v>221</v>
      </c>
      <c r="D701" s="0"/>
      <c r="E701" s="0"/>
      <c r="F701" s="0"/>
      <c r="G701" s="0"/>
      <c r="H701" s="0"/>
    </row>
    <row r="702" customFormat="false" ht="12.5" hidden="true" customHeight="false" outlineLevel="0" collapsed="false">
      <c r="A702" s="0" t="s">
        <v>908</v>
      </c>
      <c r="B702" s="65" t="n">
        <v>1</v>
      </c>
      <c r="C702" s="71" t="s">
        <v>221</v>
      </c>
      <c r="D702" s="0"/>
      <c r="E702" s="0"/>
      <c r="F702" s="0"/>
      <c r="G702" s="0"/>
      <c r="H702" s="0"/>
    </row>
    <row r="703" customFormat="false" ht="12.5" hidden="true" customHeight="false" outlineLevel="0" collapsed="false">
      <c r="A703" s="0" t="s">
        <v>909</v>
      </c>
      <c r="B703" s="65" t="n">
        <v>1</v>
      </c>
      <c r="C703" s="71" t="s">
        <v>221</v>
      </c>
      <c r="D703" s="0"/>
      <c r="E703" s="0"/>
      <c r="F703" s="0"/>
      <c r="G703" s="0"/>
      <c r="H703" s="0"/>
    </row>
    <row r="704" customFormat="false" ht="12.5" hidden="true" customHeight="false" outlineLevel="0" collapsed="false">
      <c r="A704" s="0" t="s">
        <v>910</v>
      </c>
      <c r="B704" s="65" t="n">
        <v>1</v>
      </c>
      <c r="C704" s="71" t="s">
        <v>221</v>
      </c>
      <c r="D704" s="0"/>
      <c r="E704" s="0"/>
      <c r="F704" s="0"/>
      <c r="G704" s="0"/>
      <c r="H704" s="0"/>
    </row>
    <row r="705" customFormat="false" ht="12.5" hidden="true" customHeight="false" outlineLevel="0" collapsed="false">
      <c r="A705" s="0" t="s">
        <v>911</v>
      </c>
      <c r="B705" s="65" t="n">
        <v>1</v>
      </c>
      <c r="C705" s="71" t="s">
        <v>221</v>
      </c>
      <c r="D705" s="0"/>
      <c r="E705" s="0"/>
      <c r="F705" s="0"/>
      <c r="G705" s="0"/>
      <c r="H705" s="0"/>
    </row>
    <row r="706" customFormat="false" ht="12.5" hidden="true" customHeight="false" outlineLevel="0" collapsed="false">
      <c r="A706" s="0" t="s">
        <v>912</v>
      </c>
      <c r="B706" s="65" t="n">
        <v>1</v>
      </c>
      <c r="C706" s="71" t="s">
        <v>221</v>
      </c>
      <c r="D706" s="0"/>
      <c r="E706" s="0"/>
      <c r="F706" s="0"/>
      <c r="G706" s="0"/>
      <c r="H706" s="0"/>
    </row>
    <row r="707" customFormat="false" ht="12.5" hidden="true" customHeight="false" outlineLevel="0" collapsed="false">
      <c r="A707" s="0" t="s">
        <v>913</v>
      </c>
      <c r="B707" s="65" t="n">
        <v>1</v>
      </c>
      <c r="C707" s="71" t="s">
        <v>221</v>
      </c>
      <c r="D707" s="0"/>
      <c r="E707" s="0"/>
      <c r="F707" s="0"/>
      <c r="G707" s="0"/>
      <c r="H707" s="0"/>
    </row>
    <row r="708" customFormat="false" ht="12.5" hidden="true" customHeight="false" outlineLevel="0" collapsed="false">
      <c r="A708" s="0" t="s">
        <v>914</v>
      </c>
      <c r="B708" s="65" t="n">
        <v>1</v>
      </c>
      <c r="C708" s="71" t="s">
        <v>221</v>
      </c>
      <c r="D708" s="0"/>
      <c r="E708" s="0"/>
      <c r="F708" s="0"/>
      <c r="G708" s="0"/>
      <c r="H708" s="0"/>
    </row>
    <row r="709" customFormat="false" ht="12.5" hidden="true" customHeight="false" outlineLevel="0" collapsed="false">
      <c r="A709" s="0" t="s">
        <v>915</v>
      </c>
      <c r="B709" s="65" t="n">
        <v>1</v>
      </c>
      <c r="C709" s="71" t="s">
        <v>221</v>
      </c>
      <c r="D709" s="0"/>
      <c r="E709" s="0"/>
      <c r="F709" s="0"/>
      <c r="G709" s="0"/>
      <c r="H709" s="0"/>
    </row>
    <row r="710" customFormat="false" ht="12.5" hidden="true" customHeight="false" outlineLevel="0" collapsed="false">
      <c r="A710" s="0" t="s">
        <v>916</v>
      </c>
      <c r="B710" s="65" t="n">
        <v>1</v>
      </c>
      <c r="C710" s="71" t="s">
        <v>221</v>
      </c>
      <c r="D710" s="0"/>
      <c r="E710" s="0"/>
      <c r="F710" s="0"/>
      <c r="G710" s="0"/>
      <c r="H710" s="0"/>
    </row>
    <row r="711" customFormat="false" ht="12.5" hidden="true" customHeight="false" outlineLevel="0" collapsed="false">
      <c r="A711" s="0" t="s">
        <v>917</v>
      </c>
      <c r="B711" s="65" t="n">
        <v>1</v>
      </c>
      <c r="C711" s="71" t="s">
        <v>221</v>
      </c>
      <c r="D711" s="0"/>
      <c r="E711" s="0"/>
      <c r="F711" s="0"/>
      <c r="G711" s="0"/>
      <c r="H711" s="0"/>
    </row>
    <row r="712" customFormat="false" ht="12.5" hidden="true" customHeight="false" outlineLevel="0" collapsed="false">
      <c r="A712" s="0" t="s">
        <v>918</v>
      </c>
      <c r="B712" s="65" t="n">
        <v>1</v>
      </c>
      <c r="C712" s="71" t="s">
        <v>221</v>
      </c>
      <c r="D712" s="0"/>
      <c r="E712" s="0"/>
      <c r="F712" s="0"/>
      <c r="G712" s="0"/>
      <c r="H712" s="0"/>
    </row>
    <row r="713" customFormat="false" ht="12.5" hidden="true" customHeight="false" outlineLevel="0" collapsed="false">
      <c r="A713" s="0" t="s">
        <v>919</v>
      </c>
      <c r="B713" s="65" t="n">
        <v>1</v>
      </c>
      <c r="C713" s="71" t="s">
        <v>221</v>
      </c>
      <c r="D713" s="0"/>
      <c r="E713" s="0"/>
      <c r="F713" s="0"/>
      <c r="G713" s="0"/>
      <c r="H713" s="0"/>
    </row>
    <row r="714" customFormat="false" ht="12.5" hidden="true" customHeight="false" outlineLevel="0" collapsed="false">
      <c r="A714" s="0" t="s">
        <v>920</v>
      </c>
      <c r="B714" s="65" t="n">
        <v>1</v>
      </c>
      <c r="C714" s="71" t="s">
        <v>221</v>
      </c>
      <c r="D714" s="0"/>
      <c r="E714" s="0"/>
      <c r="F714" s="0"/>
      <c r="G714" s="0"/>
      <c r="H714" s="0"/>
    </row>
    <row r="715" customFormat="false" ht="12.5" hidden="true" customHeight="false" outlineLevel="0" collapsed="false">
      <c r="A715" s="0" t="s">
        <v>921</v>
      </c>
      <c r="B715" s="65" t="n">
        <v>1</v>
      </c>
      <c r="C715" s="71" t="s">
        <v>221</v>
      </c>
      <c r="D715" s="0"/>
      <c r="E715" s="0"/>
      <c r="F715" s="0"/>
      <c r="G715" s="0"/>
      <c r="H715" s="0"/>
    </row>
    <row r="716" customFormat="false" ht="4.5" hidden="false" customHeight="true" outlineLevel="0" collapsed="false">
      <c r="B716" s="68"/>
      <c r="C716" s="71"/>
    </row>
    <row r="717" customFormat="false" ht="13" hidden="false" customHeight="false" outlineLevel="0" collapsed="false">
      <c r="A717" s="70" t="s">
        <v>922</v>
      </c>
      <c r="B717" s="73"/>
      <c r="C717" s="74"/>
      <c r="D717" s="42"/>
      <c r="E717" s="42"/>
      <c r="F717" s="42"/>
      <c r="G717" s="42"/>
      <c r="H717" s="42"/>
    </row>
    <row r="718" customFormat="false" ht="12.5" hidden="false" customHeight="false" outlineLevel="0" collapsed="false">
      <c r="A718" s="0" t="s">
        <v>923</v>
      </c>
      <c r="B718" s="65" t="n">
        <v>1</v>
      </c>
      <c r="C718" s="69"/>
      <c r="E718" s="72" t="s">
        <v>36</v>
      </c>
    </row>
    <row r="719" customFormat="false" ht="12.5" hidden="true" customHeight="false" outlineLevel="0" collapsed="false">
      <c r="A719" s="0" t="s">
        <v>924</v>
      </c>
      <c r="B719" s="65" t="n">
        <v>1</v>
      </c>
      <c r="C719" s="71" t="s">
        <v>221</v>
      </c>
      <c r="D719" s="0"/>
      <c r="E719" s="0"/>
      <c r="F719" s="0"/>
      <c r="G719" s="0"/>
      <c r="H719" s="0"/>
    </row>
    <row r="720" customFormat="false" ht="12.5" hidden="true" customHeight="false" outlineLevel="0" collapsed="false">
      <c r="A720" s="0" t="s">
        <v>925</v>
      </c>
      <c r="B720" s="65" t="n">
        <v>1</v>
      </c>
      <c r="C720" s="71" t="s">
        <v>221</v>
      </c>
      <c r="D720" s="0"/>
      <c r="E720" s="0"/>
      <c r="F720" s="0"/>
      <c r="G720" s="0"/>
      <c r="H720" s="0"/>
    </row>
    <row r="721" customFormat="false" ht="12.5" hidden="false" customHeight="false" outlineLevel="0" collapsed="false">
      <c r="A721" s="0" t="s">
        <v>926</v>
      </c>
      <c r="B721" s="65" t="n">
        <v>1</v>
      </c>
      <c r="C721" s="69"/>
      <c r="E721" s="72" t="s">
        <v>36</v>
      </c>
      <c r="H721" s="72"/>
    </row>
    <row r="722" customFormat="false" ht="12.5" hidden="true" customHeight="false" outlineLevel="0" collapsed="false">
      <c r="A722" s="0" t="s">
        <v>927</v>
      </c>
      <c r="B722" s="65" t="n">
        <v>1</v>
      </c>
      <c r="C722" s="71" t="s">
        <v>221</v>
      </c>
      <c r="D722" s="0"/>
      <c r="E722" s="0"/>
      <c r="F722" s="0"/>
      <c r="G722" s="0"/>
      <c r="H722" s="0"/>
    </row>
    <row r="723" customFormat="false" ht="12.5" hidden="true" customHeight="false" outlineLevel="0" collapsed="false">
      <c r="A723" s="0" t="s">
        <v>928</v>
      </c>
      <c r="B723" s="65" t="n">
        <v>1</v>
      </c>
      <c r="C723" s="71" t="s">
        <v>221</v>
      </c>
      <c r="D723" s="0"/>
      <c r="E723" s="0"/>
      <c r="F723" s="0"/>
      <c r="G723" s="0"/>
      <c r="H723" s="0"/>
    </row>
    <row r="724" customFormat="false" ht="12.5" hidden="false" customHeight="false" outlineLevel="0" collapsed="false">
      <c r="A724" s="0" t="s">
        <v>929</v>
      </c>
      <c r="B724" s="65" t="n">
        <v>1</v>
      </c>
      <c r="C724" s="69"/>
      <c r="E724" s="72" t="s">
        <v>36</v>
      </c>
    </row>
    <row r="725" customFormat="false" ht="12.5" hidden="false" customHeight="false" outlineLevel="0" collapsed="false">
      <c r="C725" s="65"/>
    </row>
    <row r="726" customFormat="false" ht="13" hidden="false" customHeight="false" outlineLevel="0" collapsed="false">
      <c r="A726" s="54" t="s">
        <v>930</v>
      </c>
      <c r="B726" s="65" t="n">
        <f aca="false">SUM(B728:B750)</f>
        <v>23276</v>
      </c>
      <c r="C726" s="67" t="n">
        <f aca="false">SUMIFS($B729:$B750,C729:C750,"oui")</f>
        <v>12</v>
      </c>
      <c r="D726" s="67" t="n">
        <f aca="false">SUMIFS($B728:$B750,D728:D750,"X")</f>
        <v>347</v>
      </c>
      <c r="E726" s="67" t="n">
        <f aca="false">SUMIFS($B728:$B750,E728:E750,"X")</f>
        <v>13481</v>
      </c>
      <c r="F726" s="67" t="n">
        <f aca="false">SUMIFS($B728:$B750,F728:F750,"X")</f>
        <v>0</v>
      </c>
      <c r="G726" s="67" t="n">
        <f aca="false">SUMIFS($B728:$B750,G728:G750,"X")</f>
        <v>9140</v>
      </c>
      <c r="H726" s="67" t="n">
        <f aca="false">SUMIFS($B728:$B750,H728:H750,"X")</f>
        <v>296</v>
      </c>
    </row>
    <row r="727" customFormat="false" ht="12.5" hidden="false" customHeight="false" outlineLevel="0" collapsed="false">
      <c r="A727" s="0" t="s">
        <v>931</v>
      </c>
      <c r="C727" s="69"/>
    </row>
    <row r="728" customFormat="false" ht="12.5" hidden="false" customHeight="false" outlineLevel="0" collapsed="false">
      <c r="A728" s="0" t="s">
        <v>932</v>
      </c>
      <c r="B728" s="65" t="n">
        <v>51</v>
      </c>
      <c r="C728" s="69"/>
      <c r="E728" s="72" t="s">
        <v>36</v>
      </c>
    </row>
    <row r="729" customFormat="false" ht="12.5" hidden="false" customHeight="false" outlineLevel="0" collapsed="false">
      <c r="A729" s="0" t="s">
        <v>933</v>
      </c>
      <c r="B729" s="65" t="n">
        <v>1</v>
      </c>
      <c r="C729" s="69"/>
      <c r="E729" s="72" t="s">
        <v>36</v>
      </c>
    </row>
    <row r="730" customFormat="false" ht="12.5" hidden="false" customHeight="false" outlineLevel="0" collapsed="false">
      <c r="A730" s="0" t="s">
        <v>934</v>
      </c>
      <c r="B730" s="65" t="n">
        <v>273</v>
      </c>
      <c r="C730" s="69"/>
      <c r="D730" s="43" t="s">
        <v>36</v>
      </c>
      <c r="H730" s="72"/>
    </row>
    <row r="731" customFormat="false" ht="12.5" hidden="false" customHeight="false" outlineLevel="0" collapsed="false">
      <c r="A731" s="0" t="s">
        <v>935</v>
      </c>
      <c r="B731" s="65" t="n">
        <v>40</v>
      </c>
      <c r="C731" s="69"/>
      <c r="D731" s="43" t="s">
        <v>36</v>
      </c>
      <c r="E731" s="72"/>
    </row>
    <row r="732" customFormat="false" ht="12.5" hidden="false" customHeight="false" outlineLevel="0" collapsed="false">
      <c r="A732" s="0" t="s">
        <v>936</v>
      </c>
      <c r="B732" s="65" t="n">
        <v>143</v>
      </c>
      <c r="C732" s="69"/>
      <c r="E732" s="72" t="s">
        <v>36</v>
      </c>
    </row>
    <row r="733" customFormat="false" ht="12.5" hidden="false" customHeight="false" outlineLevel="0" collapsed="false">
      <c r="A733" s="0" t="s">
        <v>937</v>
      </c>
      <c r="B733" s="65" t="n">
        <v>97</v>
      </c>
      <c r="C733" s="69"/>
      <c r="H733" s="72" t="s">
        <v>36</v>
      </c>
    </row>
    <row r="734" customFormat="false" ht="12.5" hidden="false" customHeight="false" outlineLevel="0" collapsed="false">
      <c r="A734" s="0" t="s">
        <v>938</v>
      </c>
      <c r="B734" s="65" t="n">
        <v>1</v>
      </c>
      <c r="C734" s="69"/>
      <c r="D734" s="72" t="s">
        <v>36</v>
      </c>
    </row>
    <row r="735" customFormat="false" ht="12.5" hidden="false" customHeight="false" outlineLevel="0" collapsed="false">
      <c r="A735" s="0" t="s">
        <v>939</v>
      </c>
      <c r="B735" s="65" t="n">
        <v>11</v>
      </c>
      <c r="C735" s="69"/>
      <c r="D735" s="43" t="s">
        <v>36</v>
      </c>
      <c r="E735" s="72"/>
    </row>
    <row r="736" customFormat="false" ht="12.5" hidden="false" customHeight="false" outlineLevel="0" collapsed="false">
      <c r="A736" s="0" t="s">
        <v>940</v>
      </c>
      <c r="B736" s="65" t="n">
        <v>1</v>
      </c>
      <c r="C736" s="69"/>
      <c r="H736" s="72" t="s">
        <v>36</v>
      </c>
    </row>
    <row r="737" customFormat="false" ht="12.5" hidden="false" customHeight="false" outlineLevel="0" collapsed="false">
      <c r="A737" s="0" t="s">
        <v>941</v>
      </c>
      <c r="B737" s="65" t="n">
        <v>439</v>
      </c>
      <c r="C737" s="69"/>
      <c r="E737" s="72" t="s">
        <v>36</v>
      </c>
    </row>
    <row r="738" customFormat="false" ht="12.5" hidden="false" customHeight="false" outlineLevel="0" collapsed="false">
      <c r="A738" s="0" t="s">
        <v>942</v>
      </c>
      <c r="B738" s="65" t="n">
        <v>1</v>
      </c>
      <c r="C738" s="69"/>
      <c r="D738" s="72" t="s">
        <v>36</v>
      </c>
    </row>
    <row r="739" customFormat="false" ht="12.5" hidden="false" customHeight="false" outlineLevel="0" collapsed="false">
      <c r="A739" s="0" t="s">
        <v>943</v>
      </c>
      <c r="B739" s="65" t="n">
        <v>1</v>
      </c>
      <c r="C739" s="69"/>
      <c r="D739" s="72" t="s">
        <v>36</v>
      </c>
    </row>
    <row r="740" customFormat="false" ht="12.5" hidden="false" customHeight="false" outlineLevel="0" collapsed="false">
      <c r="A740" s="0" t="s">
        <v>944</v>
      </c>
      <c r="B740" s="65" t="n">
        <v>1</v>
      </c>
      <c r="C740" s="69"/>
      <c r="D740" s="72" t="s">
        <v>36</v>
      </c>
    </row>
    <row r="741" customFormat="false" ht="12.5" hidden="false" customHeight="false" outlineLevel="0" collapsed="false">
      <c r="A741" s="0" t="s">
        <v>945</v>
      </c>
      <c r="B741" s="65" t="n">
        <v>1</v>
      </c>
      <c r="C741" s="69"/>
      <c r="D741" s="72" t="s">
        <v>36</v>
      </c>
    </row>
    <row r="742" customFormat="false" ht="12.5" hidden="false" customHeight="false" outlineLevel="0" collapsed="false">
      <c r="A742" s="0" t="s">
        <v>946</v>
      </c>
      <c r="B742" s="65" t="n">
        <v>18</v>
      </c>
      <c r="C742" s="69"/>
      <c r="D742" s="72" t="s">
        <v>36</v>
      </c>
    </row>
    <row r="743" customFormat="false" ht="12.5" hidden="true" customHeight="false" outlineLevel="0" collapsed="false">
      <c r="A743" s="0" t="s">
        <v>947</v>
      </c>
      <c r="B743" s="65" t="n">
        <v>2</v>
      </c>
      <c r="C743" s="71" t="s">
        <v>221</v>
      </c>
      <c r="D743" s="0"/>
      <c r="E743" s="0"/>
      <c r="F743" s="0"/>
      <c r="G743" s="0"/>
      <c r="H743" s="0"/>
    </row>
    <row r="744" customFormat="false" ht="12.5" hidden="true" customHeight="false" outlineLevel="0" collapsed="false">
      <c r="A744" s="0" t="s">
        <v>948</v>
      </c>
      <c r="B744" s="65" t="n">
        <v>10</v>
      </c>
      <c r="C744" s="71" t="s">
        <v>221</v>
      </c>
      <c r="D744" s="0"/>
      <c r="E744" s="0"/>
      <c r="F744" s="0"/>
      <c r="G744" s="0"/>
      <c r="H744" s="0"/>
    </row>
    <row r="745" customFormat="false" ht="12.5" hidden="false" customHeight="false" outlineLevel="0" collapsed="false">
      <c r="A745" s="0" t="s">
        <v>949</v>
      </c>
      <c r="B745" s="65" t="n">
        <v>248</v>
      </c>
      <c r="C745" s="69"/>
      <c r="E745" s="72" t="s">
        <v>36</v>
      </c>
    </row>
    <row r="746" customFormat="false" ht="12.5" hidden="false" customHeight="false" outlineLevel="0" collapsed="false">
      <c r="A746" s="0" t="s">
        <v>950</v>
      </c>
      <c r="B746" s="65" t="n">
        <v>1164</v>
      </c>
      <c r="C746" s="69"/>
      <c r="G746" s="72" t="s">
        <v>36</v>
      </c>
    </row>
    <row r="747" customFormat="false" ht="12.5" hidden="false" customHeight="false" outlineLevel="0" collapsed="false">
      <c r="A747" s="0" t="s">
        <v>951</v>
      </c>
      <c r="B747" s="65" t="n">
        <v>97</v>
      </c>
      <c r="C747" s="69"/>
      <c r="H747" s="72" t="s">
        <v>36</v>
      </c>
    </row>
    <row r="748" customFormat="false" ht="12.5" hidden="false" customHeight="false" outlineLevel="0" collapsed="false">
      <c r="A748" s="0" t="s">
        <v>952</v>
      </c>
      <c r="B748" s="65" t="n">
        <v>7976</v>
      </c>
      <c r="C748" s="69"/>
      <c r="G748" s="72" t="s">
        <v>36</v>
      </c>
    </row>
    <row r="749" customFormat="false" ht="12.5" hidden="false" customHeight="false" outlineLevel="0" collapsed="false">
      <c r="A749" s="0" t="s">
        <v>953</v>
      </c>
      <c r="B749" s="65" t="n">
        <v>12599</v>
      </c>
      <c r="C749" s="69"/>
      <c r="E749" s="72" t="s">
        <v>36</v>
      </c>
    </row>
    <row r="750" customFormat="false" ht="12.5" hidden="false" customHeight="false" outlineLevel="0" collapsed="false">
      <c r="A750" s="0" t="s">
        <v>954</v>
      </c>
      <c r="B750" s="65" t="n">
        <v>101</v>
      </c>
      <c r="C750" s="69"/>
      <c r="H750" s="72" t="s">
        <v>36</v>
      </c>
    </row>
    <row r="752" customFormat="false" ht="13" hidden="false" customHeight="false" outlineLevel="0" collapsed="false">
      <c r="A752" s="54" t="s">
        <v>955</v>
      </c>
      <c r="B752" s="65" t="n">
        <f aca="false">SUM(B754:B777)</f>
        <v>24</v>
      </c>
      <c r="C752" s="67" t="n">
        <f aca="false">SUMIFS($B754:$B777,C754:C777,"oui")</f>
        <v>0</v>
      </c>
      <c r="D752" s="67" t="n">
        <f aca="false">SUMIFS($B754:$B777,D754:D777,"X")</f>
        <v>0</v>
      </c>
      <c r="E752" s="67" t="n">
        <f aca="false">SUMIFS($B754:$B777,E754:E777,"X")</f>
        <v>10</v>
      </c>
      <c r="F752" s="67" t="n">
        <f aca="false">SUMIFS($B754:$B777,F754:F777,"X")</f>
        <v>0</v>
      </c>
      <c r="G752" s="67" t="n">
        <f aca="false">SUMIFS($B754:$B777,G754:G777,"X")</f>
        <v>0</v>
      </c>
      <c r="H752" s="67" t="n">
        <f aca="false">SUMIFS($B754:$B777,H754:H777,"X")</f>
        <v>9</v>
      </c>
      <c r="I752" s="67" t="n">
        <f aca="false">SUMIFS($B754:$B777,I754:I777,"ok")</f>
        <v>5</v>
      </c>
    </row>
    <row r="753" customFormat="false" ht="6.5" hidden="false" customHeight="true" outlineLevel="0" collapsed="false">
      <c r="B753" s="43"/>
    </row>
    <row r="754" customFormat="false" ht="12.5" hidden="false" customHeight="false" outlineLevel="0" collapsed="false">
      <c r="A754" s="0" t="s">
        <v>956</v>
      </c>
      <c r="B754" s="65" t="n">
        <v>1</v>
      </c>
      <c r="C754" s="69"/>
      <c r="E754" s="43" t="s">
        <v>36</v>
      </c>
    </row>
    <row r="755" customFormat="false" ht="12.5" hidden="false" customHeight="false" outlineLevel="0" collapsed="false">
      <c r="A755" s="0" t="s">
        <v>957</v>
      </c>
      <c r="B755" s="65" t="n">
        <v>1</v>
      </c>
      <c r="C755" s="69"/>
      <c r="E755" s="43" t="s">
        <v>36</v>
      </c>
    </row>
    <row r="756" customFormat="false" ht="12.5" hidden="false" customHeight="false" outlineLevel="0" collapsed="false">
      <c r="A756" s="0" t="s">
        <v>958</v>
      </c>
      <c r="B756" s="65" t="n">
        <v>1</v>
      </c>
      <c r="C756" s="69"/>
      <c r="H756" s="43" t="s">
        <v>36</v>
      </c>
    </row>
    <row r="757" customFormat="false" ht="12.5" hidden="false" customHeight="false" outlineLevel="0" collapsed="false">
      <c r="A757" s="0" t="s">
        <v>959</v>
      </c>
      <c r="B757" s="65" t="n">
        <v>1</v>
      </c>
      <c r="C757" s="69"/>
      <c r="E757" s="43" t="s">
        <v>36</v>
      </c>
    </row>
    <row r="758" customFormat="false" ht="12.5" hidden="false" customHeight="false" outlineLevel="0" collapsed="false">
      <c r="A758" s="0" t="s">
        <v>960</v>
      </c>
      <c r="B758" s="65" t="n">
        <v>1</v>
      </c>
      <c r="C758" s="69"/>
      <c r="I758" s="0" t="s">
        <v>961</v>
      </c>
    </row>
    <row r="759" customFormat="false" ht="12.5" hidden="false" customHeight="false" outlineLevel="0" collapsed="false">
      <c r="A759" s="0" t="s">
        <v>962</v>
      </c>
      <c r="B759" s="65" t="n">
        <v>1</v>
      </c>
      <c r="C759" s="69"/>
      <c r="I759" s="0" t="s">
        <v>961</v>
      </c>
    </row>
    <row r="760" customFormat="false" ht="12.5" hidden="false" customHeight="false" outlineLevel="0" collapsed="false">
      <c r="A760" s="0" t="s">
        <v>963</v>
      </c>
      <c r="B760" s="65" t="n">
        <v>1</v>
      </c>
      <c r="C760" s="69"/>
      <c r="I760" s="0" t="s">
        <v>961</v>
      </c>
    </row>
    <row r="761" customFormat="false" ht="12.5" hidden="false" customHeight="false" outlineLevel="0" collapsed="false">
      <c r="A761" s="0" t="s">
        <v>964</v>
      </c>
      <c r="B761" s="65" t="n">
        <v>1</v>
      </c>
      <c r="C761" s="69"/>
      <c r="H761" s="43" t="s">
        <v>36</v>
      </c>
    </row>
    <row r="762" customFormat="false" ht="12.5" hidden="false" customHeight="false" outlineLevel="0" collapsed="false">
      <c r="A762" s="0" t="s">
        <v>965</v>
      </c>
      <c r="B762" s="65" t="n">
        <v>1</v>
      </c>
      <c r="C762" s="69"/>
      <c r="H762" s="43" t="s">
        <v>36</v>
      </c>
    </row>
    <row r="763" customFormat="false" ht="12.5" hidden="false" customHeight="false" outlineLevel="0" collapsed="false">
      <c r="A763" s="0" t="s">
        <v>966</v>
      </c>
      <c r="B763" s="65" t="n">
        <v>1</v>
      </c>
      <c r="C763" s="69"/>
      <c r="H763" s="43" t="s">
        <v>36</v>
      </c>
    </row>
    <row r="764" customFormat="false" ht="12.5" hidden="false" customHeight="false" outlineLevel="0" collapsed="false">
      <c r="A764" s="0" t="s">
        <v>967</v>
      </c>
      <c r="B764" s="65" t="n">
        <v>1</v>
      </c>
      <c r="C764" s="69"/>
      <c r="E764" s="43" t="s">
        <v>36</v>
      </c>
    </row>
    <row r="765" customFormat="false" ht="12.5" hidden="false" customHeight="false" outlineLevel="0" collapsed="false">
      <c r="A765" s="0" t="s">
        <v>968</v>
      </c>
      <c r="B765" s="65" t="n">
        <v>1</v>
      </c>
      <c r="C765" s="69"/>
      <c r="I765" s="0" t="s">
        <v>961</v>
      </c>
    </row>
    <row r="766" customFormat="false" ht="12.5" hidden="false" customHeight="false" outlineLevel="0" collapsed="false">
      <c r="A766" s="0" t="s">
        <v>969</v>
      </c>
      <c r="B766" s="65" t="n">
        <v>1</v>
      </c>
      <c r="C766" s="69"/>
      <c r="H766" s="43" t="s">
        <v>36</v>
      </c>
    </row>
    <row r="767" customFormat="false" ht="12.5" hidden="false" customHeight="false" outlineLevel="0" collapsed="false">
      <c r="A767" s="0" t="s">
        <v>970</v>
      </c>
      <c r="B767" s="65" t="n">
        <v>1</v>
      </c>
      <c r="C767" s="69"/>
      <c r="H767" s="43" t="s">
        <v>36</v>
      </c>
    </row>
    <row r="768" customFormat="false" ht="12.5" hidden="false" customHeight="false" outlineLevel="0" collapsed="false">
      <c r="A768" s="0" t="s">
        <v>971</v>
      </c>
      <c r="B768" s="65" t="n">
        <v>1</v>
      </c>
      <c r="C768" s="69"/>
      <c r="I768" s="0" t="s">
        <v>961</v>
      </c>
    </row>
    <row r="769" customFormat="false" ht="12.5" hidden="false" customHeight="false" outlineLevel="0" collapsed="false">
      <c r="A769" s="0" t="s">
        <v>972</v>
      </c>
      <c r="B769" s="65" t="n">
        <v>1</v>
      </c>
      <c r="C769" s="69"/>
      <c r="E769" s="43" t="s">
        <v>36</v>
      </c>
    </row>
    <row r="770" customFormat="false" ht="12.5" hidden="false" customHeight="false" outlineLevel="0" collapsed="false">
      <c r="A770" s="0" t="s">
        <v>973</v>
      </c>
      <c r="B770" s="65" t="n">
        <v>1</v>
      </c>
      <c r="C770" s="69"/>
      <c r="E770" s="43" t="s">
        <v>36</v>
      </c>
    </row>
    <row r="771" customFormat="false" ht="12.5" hidden="false" customHeight="false" outlineLevel="0" collapsed="false">
      <c r="A771" s="0" t="s">
        <v>974</v>
      </c>
      <c r="B771" s="65" t="n">
        <v>1</v>
      </c>
      <c r="C771" s="69"/>
      <c r="E771" s="43" t="s">
        <v>36</v>
      </c>
    </row>
    <row r="772" customFormat="false" ht="12.5" hidden="false" customHeight="false" outlineLevel="0" collapsed="false">
      <c r="A772" s="0" t="s">
        <v>975</v>
      </c>
      <c r="B772" s="65" t="n">
        <v>1</v>
      </c>
      <c r="C772" s="69"/>
      <c r="E772" s="43" t="s">
        <v>36</v>
      </c>
    </row>
    <row r="773" customFormat="false" ht="12.5" hidden="false" customHeight="false" outlineLevel="0" collapsed="false">
      <c r="A773" s="0" t="s">
        <v>976</v>
      </c>
      <c r="B773" s="65" t="n">
        <v>1</v>
      </c>
      <c r="C773" s="69"/>
      <c r="H773" s="43" t="s">
        <v>36</v>
      </c>
    </row>
    <row r="774" customFormat="false" ht="12.5" hidden="false" customHeight="false" outlineLevel="0" collapsed="false">
      <c r="A774" s="0" t="s">
        <v>977</v>
      </c>
      <c r="B774" s="65" t="n">
        <v>1</v>
      </c>
      <c r="C774" s="69"/>
      <c r="H774" s="43" t="s">
        <v>36</v>
      </c>
    </row>
    <row r="775" customFormat="false" ht="12.5" hidden="false" customHeight="false" outlineLevel="0" collapsed="false">
      <c r="A775" s="0" t="s">
        <v>978</v>
      </c>
      <c r="B775" s="65" t="n">
        <v>1</v>
      </c>
      <c r="C775" s="69"/>
      <c r="H775" s="43" t="s">
        <v>36</v>
      </c>
    </row>
    <row r="776" customFormat="false" ht="12.5" hidden="false" customHeight="false" outlineLevel="0" collapsed="false">
      <c r="A776" s="0" t="s">
        <v>979</v>
      </c>
      <c r="B776" s="65" t="n">
        <v>1</v>
      </c>
      <c r="C776" s="69"/>
      <c r="E776" s="43" t="s">
        <v>36</v>
      </c>
    </row>
    <row r="777" customFormat="false" ht="12.5" hidden="false" customHeight="false" outlineLevel="0" collapsed="false">
      <c r="A777" s="0" t="s">
        <v>980</v>
      </c>
      <c r="B777" s="65" t="n">
        <v>1</v>
      </c>
      <c r="C777" s="69"/>
      <c r="E777" s="43" t="s">
        <v>36</v>
      </c>
    </row>
  </sheetData>
  <autoFilter ref="A1:H75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2" activeCellId="0" sqref="F22"/>
    </sheetView>
  </sheetViews>
  <sheetFormatPr defaultColWidth="11.0546875" defaultRowHeight="12.5" customHeight="false" zeroHeight="false" outlineLevelRow="0" outlineLevelCol="0"/>
  <cols>
    <col collapsed="false" customWidth="true" hidden="false" outlineLevel="0" max="2" min="2" style="0" width="25.17"/>
  </cols>
  <sheetData>
    <row r="1" customFormat="false" ht="13" hidden="false" customHeight="false" outlineLevel="0" collapsed="false">
      <c r="A1" s="75" t="s">
        <v>981</v>
      </c>
    </row>
    <row r="2" customFormat="false" ht="12.5" hidden="false" customHeight="false" outlineLevel="0" collapsed="false">
      <c r="A2" s="76" t="s">
        <v>982</v>
      </c>
      <c r="B2" s="77"/>
    </row>
    <row r="3" customFormat="false" ht="12.5" hidden="false" customHeight="false" outlineLevel="0" collapsed="false">
      <c r="A3" s="78"/>
      <c r="B3" s="79"/>
      <c r="C3" s="80" t="n">
        <v>2023</v>
      </c>
    </row>
    <row r="4" customFormat="false" ht="15" hidden="false" customHeight="false" outlineLevel="0" collapsed="false">
      <c r="A4" s="81" t="s">
        <v>983</v>
      </c>
      <c r="B4" s="82" t="s">
        <v>984</v>
      </c>
      <c r="C4" s="83" t="n">
        <v>3753.124</v>
      </c>
    </row>
    <row r="5" customFormat="false" ht="12.5" hidden="false" customHeight="false" outlineLevel="0" collapsed="false">
      <c r="A5" s="84"/>
      <c r="B5" s="82" t="s">
        <v>985</v>
      </c>
      <c r="C5" s="85" t="n">
        <v>1358.476</v>
      </c>
    </row>
    <row r="6" customFormat="false" ht="12.5" hidden="false" customHeight="false" outlineLevel="0" collapsed="false">
      <c r="A6" s="84"/>
      <c r="B6" s="82" t="s">
        <v>986</v>
      </c>
      <c r="C6" s="85" t="n">
        <v>313.363</v>
      </c>
    </row>
    <row r="7" customFormat="false" ht="14.5" hidden="false" customHeight="false" outlineLevel="0" collapsed="false">
      <c r="A7" s="84"/>
      <c r="B7" s="82" t="s">
        <v>987</v>
      </c>
      <c r="C7" s="85" t="n">
        <v>378.899</v>
      </c>
    </row>
    <row r="8" customFormat="false" ht="13" hidden="false" customHeight="false" outlineLevel="0" collapsed="false">
      <c r="A8" s="86"/>
      <c r="B8" s="87" t="s">
        <v>983</v>
      </c>
      <c r="C8" s="88" t="n">
        <v>5803.862</v>
      </c>
    </row>
    <row r="9" customFormat="false" ht="13" hidden="false" customHeight="false" outlineLevel="0" collapsed="false">
      <c r="A9" s="89" t="s">
        <v>988</v>
      </c>
      <c r="B9" s="90" t="s">
        <v>989</v>
      </c>
      <c r="C9" s="83" t="n">
        <v>1504.471</v>
      </c>
    </row>
    <row r="10" customFormat="false" ht="12.5" hidden="false" customHeight="false" outlineLevel="0" collapsed="false">
      <c r="A10" s="84"/>
      <c r="B10" s="82" t="s">
        <v>985</v>
      </c>
      <c r="C10" s="85" t="n">
        <v>582.699</v>
      </c>
    </row>
    <row r="11" customFormat="false" ht="14.5" hidden="false" customHeight="false" outlineLevel="0" collapsed="false">
      <c r="A11" s="84"/>
      <c r="B11" s="82" t="s">
        <v>990</v>
      </c>
      <c r="C11" s="85" t="n">
        <v>313.363</v>
      </c>
    </row>
    <row r="12" customFormat="false" ht="14.5" hidden="false" customHeight="false" outlineLevel="0" collapsed="false">
      <c r="A12" s="84"/>
      <c r="B12" s="82" t="s">
        <v>987</v>
      </c>
      <c r="C12" s="85" t="n">
        <v>169.704</v>
      </c>
    </row>
    <row r="13" customFormat="false" ht="13" hidden="false" customHeight="false" outlineLevel="0" collapsed="false">
      <c r="A13" s="86"/>
      <c r="B13" s="87" t="s">
        <v>983</v>
      </c>
      <c r="C13" s="91" t="n">
        <v>2570.237</v>
      </c>
    </row>
    <row r="14" customFormat="false" ht="15" hidden="false" customHeight="false" outlineLevel="0" collapsed="false">
      <c r="A14" s="81" t="s">
        <v>991</v>
      </c>
      <c r="B14" s="82" t="s">
        <v>984</v>
      </c>
      <c r="C14" s="83" t="n">
        <v>1422.029</v>
      </c>
    </row>
    <row r="15" customFormat="false" ht="12.5" hidden="false" customHeight="false" outlineLevel="0" collapsed="false">
      <c r="A15" s="84"/>
      <c r="B15" s="82" t="s">
        <v>985</v>
      </c>
      <c r="C15" s="85" t="n">
        <v>510.159</v>
      </c>
    </row>
    <row r="16" customFormat="false" ht="14.5" hidden="false" customHeight="false" outlineLevel="0" collapsed="false">
      <c r="A16" s="84"/>
      <c r="B16" s="82" t="s">
        <v>987</v>
      </c>
      <c r="C16" s="85" t="n">
        <v>62.002</v>
      </c>
    </row>
    <row r="17" customFormat="false" ht="13" hidden="false" customHeight="false" outlineLevel="0" collapsed="false">
      <c r="A17" s="81"/>
      <c r="B17" s="92" t="s">
        <v>983</v>
      </c>
      <c r="C17" s="91" t="n">
        <v>1994.19</v>
      </c>
    </row>
    <row r="18" customFormat="false" ht="15" hidden="false" customHeight="false" outlineLevel="0" collapsed="false">
      <c r="A18" s="89" t="s">
        <v>992</v>
      </c>
      <c r="B18" s="90" t="s">
        <v>989</v>
      </c>
      <c r="C18" s="83" t="n">
        <v>826.624</v>
      </c>
    </row>
    <row r="19" customFormat="false" ht="12.5" hidden="false" customHeight="false" outlineLevel="0" collapsed="false">
      <c r="A19" s="84"/>
      <c r="B19" s="82" t="s">
        <v>985</v>
      </c>
      <c r="C19" s="85" t="n">
        <v>265.618</v>
      </c>
    </row>
    <row r="20" customFormat="false" ht="14.5" hidden="false" customHeight="false" outlineLevel="0" collapsed="false">
      <c r="A20" s="84"/>
      <c r="B20" s="82" t="s">
        <v>987</v>
      </c>
      <c r="C20" s="85" t="n">
        <v>147.193</v>
      </c>
    </row>
    <row r="21" customFormat="false" ht="13" hidden="false" customHeight="false" outlineLevel="0" collapsed="false">
      <c r="A21" s="86"/>
      <c r="B21" s="87" t="s">
        <v>983</v>
      </c>
      <c r="C21" s="91" t="n">
        <v>1239.435</v>
      </c>
    </row>
    <row r="22" customFormat="false" ht="12.5" hidden="false" customHeight="false" outlineLevel="0" collapsed="false">
      <c r="A22" s="93" t="s">
        <v>993</v>
      </c>
    </row>
    <row r="23" customFormat="false" ht="12.5" hidden="false" customHeight="false" outlineLevel="0" collapsed="false">
      <c r="A23" s="93" t="s">
        <v>994</v>
      </c>
    </row>
    <row r="24" customFormat="false" ht="12.5" hidden="false" customHeight="false" outlineLevel="0" collapsed="false">
      <c r="A24" s="93" t="s">
        <v>995</v>
      </c>
    </row>
    <row r="25" customFormat="false" ht="12.5" hidden="false" customHeight="false" outlineLevel="0" collapsed="false">
      <c r="A25" s="93" t="s">
        <v>996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0" activeCellId="0" sqref="E10"/>
    </sheetView>
  </sheetViews>
  <sheetFormatPr defaultColWidth="11.0546875" defaultRowHeight="12.5" customHeight="false" zeroHeight="false" outlineLevelRow="0" outlineLevelCol="0"/>
  <cols>
    <col collapsed="false" customWidth="true" hidden="false" outlineLevel="0" max="1" min="1" style="0" width="60.08"/>
    <col collapsed="false" customWidth="true" hidden="false" outlineLevel="0" max="2" min="2" style="0" width="8.08"/>
    <col collapsed="false" customWidth="true" hidden="false" outlineLevel="0" max="5" min="5" style="0" width="8.9"/>
    <col collapsed="false" customWidth="true" hidden="false" outlineLevel="0" max="6" min="6" style="0" width="18.62"/>
    <col collapsed="false" customWidth="true" hidden="false" outlineLevel="0" max="7" min="7" style="0" width="22.35"/>
  </cols>
  <sheetData>
    <row r="1" customFormat="false" ht="13" hidden="false" customHeight="false" outlineLevel="0" collapsed="false">
      <c r="A1" s="94" t="s">
        <v>997</v>
      </c>
      <c r="F1" s="95" t="s">
        <v>998</v>
      </c>
      <c r="G1" s="95"/>
    </row>
    <row r="2" customFormat="false" ht="13" hidden="false" customHeight="false" outlineLevel="0" collapsed="false">
      <c r="A2" s="96" t="s">
        <v>982</v>
      </c>
      <c r="B2" s="97" t="n">
        <v>2023</v>
      </c>
      <c r="F2" s="98" t="s">
        <v>982</v>
      </c>
      <c r="G2" s="95"/>
      <c r="H2" s="99" t="n">
        <v>2023</v>
      </c>
    </row>
    <row r="3" customFormat="false" ht="13" hidden="false" customHeight="true" outlineLevel="0" collapsed="false">
      <c r="A3" s="100" t="s">
        <v>999</v>
      </c>
      <c r="B3" s="101" t="n">
        <v>1994.19</v>
      </c>
      <c r="F3" s="102" t="s">
        <v>1000</v>
      </c>
      <c r="G3" s="103" t="s">
        <v>1001</v>
      </c>
      <c r="H3" s="104" t="n">
        <v>1994.19</v>
      </c>
    </row>
    <row r="4" customFormat="false" ht="14.5" hidden="false" customHeight="false" outlineLevel="0" collapsed="false">
      <c r="A4" s="105" t="s">
        <v>1002</v>
      </c>
      <c r="B4" s="106" t="n">
        <v>1537.399</v>
      </c>
      <c r="F4" s="102"/>
      <c r="G4" s="107" t="s">
        <v>1003</v>
      </c>
      <c r="H4" s="108" t="n">
        <v>447.053</v>
      </c>
    </row>
    <row r="5" customFormat="false" ht="26" hidden="false" customHeight="false" outlineLevel="0" collapsed="false">
      <c r="A5" s="100" t="s">
        <v>1004</v>
      </c>
      <c r="B5" s="109" t="n">
        <v>1414.175</v>
      </c>
      <c r="F5" s="102"/>
      <c r="G5" s="110" t="s">
        <v>1005</v>
      </c>
      <c r="H5" s="111" t="n">
        <v>153.926</v>
      </c>
    </row>
    <row r="6" customFormat="false" ht="14.5" hidden="false" customHeight="false" outlineLevel="0" collapsed="false">
      <c r="A6" s="112" t="s">
        <v>1006</v>
      </c>
      <c r="B6" s="113" t="n">
        <v>1028.952</v>
      </c>
      <c r="F6" s="102"/>
      <c r="G6" s="110" t="s">
        <v>1007</v>
      </c>
      <c r="H6" s="111" t="n">
        <v>78.478</v>
      </c>
    </row>
    <row r="7" customFormat="false" ht="12.5" hidden="false" customHeight="false" outlineLevel="0" collapsed="false">
      <c r="A7" s="105" t="s">
        <v>1008</v>
      </c>
      <c r="B7" s="106" t="n">
        <v>286.368</v>
      </c>
      <c r="F7" s="102"/>
      <c r="G7" s="114" t="s">
        <v>1009</v>
      </c>
      <c r="H7" s="115" t="n">
        <v>43.946</v>
      </c>
    </row>
    <row r="8" customFormat="false" ht="12.5" hidden="false" customHeight="false" outlineLevel="0" collapsed="false">
      <c r="A8" s="105" t="s">
        <v>1010</v>
      </c>
      <c r="B8" s="106" t="n">
        <v>98.855</v>
      </c>
      <c r="F8" s="102"/>
      <c r="G8" s="110" t="s">
        <v>1011</v>
      </c>
      <c r="H8" s="111" t="n">
        <v>87.319</v>
      </c>
    </row>
    <row r="9" customFormat="false" ht="13" hidden="false" customHeight="false" outlineLevel="0" collapsed="false">
      <c r="A9" s="100" t="s">
        <v>1012</v>
      </c>
      <c r="B9" s="101" t="n">
        <v>580.015</v>
      </c>
      <c r="F9" s="102"/>
      <c r="G9" s="114" t="s">
        <v>1013</v>
      </c>
      <c r="H9" s="115" t="n">
        <v>2.352</v>
      </c>
    </row>
    <row r="10" customFormat="false" ht="14.5" hidden="false" customHeight="false" outlineLevel="0" collapsed="false">
      <c r="A10" s="105" t="s">
        <v>1014</v>
      </c>
      <c r="B10" s="106" t="n">
        <v>105.384</v>
      </c>
      <c r="F10" s="102"/>
      <c r="G10" s="114" t="s">
        <v>1015</v>
      </c>
      <c r="H10" s="115" t="n">
        <v>27.434</v>
      </c>
    </row>
    <row r="11" customFormat="false" ht="14.5" hidden="false" customHeight="false" outlineLevel="0" collapsed="false">
      <c r="A11" s="105" t="s">
        <v>1016</v>
      </c>
      <c r="B11" s="106" t="n">
        <v>391.844</v>
      </c>
      <c r="F11" s="102"/>
      <c r="G11" s="110" t="s">
        <v>1017</v>
      </c>
      <c r="H11" s="111" t="n">
        <v>172.562</v>
      </c>
    </row>
    <row r="12" customFormat="false" ht="12.5" hidden="false" customHeight="false" outlineLevel="0" collapsed="false">
      <c r="A12" s="105" t="s">
        <v>1018</v>
      </c>
      <c r="B12" s="106" t="n">
        <v>71.568</v>
      </c>
      <c r="F12" s="102"/>
      <c r="G12" s="110" t="s">
        <v>1019</v>
      </c>
      <c r="H12" s="111" t="n">
        <v>17.762</v>
      </c>
    </row>
    <row r="13" customFormat="false" ht="12.5" hidden="false" customHeight="false" outlineLevel="0" collapsed="false">
      <c r="A13" s="116" t="s">
        <v>1020</v>
      </c>
      <c r="B13" s="106" t="n">
        <v>11.219</v>
      </c>
      <c r="F13" s="102"/>
      <c r="G13" s="114" t="s">
        <v>1021</v>
      </c>
      <c r="H13" s="115" t="n">
        <v>870.361</v>
      </c>
    </row>
    <row r="14" customFormat="false" ht="12.5" hidden="false" customHeight="false" outlineLevel="0" collapsed="false">
      <c r="A14" s="117" t="s">
        <v>1022</v>
      </c>
      <c r="B14" s="117"/>
      <c r="C14" s="117"/>
      <c r="F14" s="102"/>
      <c r="G14" s="118" t="s">
        <v>1023</v>
      </c>
      <c r="H14" s="119" t="n">
        <v>92.997</v>
      </c>
    </row>
    <row r="15" customFormat="false" ht="26" hidden="false" customHeight="false" outlineLevel="0" collapsed="false">
      <c r="A15" s="120" t="s">
        <v>1024</v>
      </c>
      <c r="B15" s="120"/>
      <c r="C15" s="120"/>
      <c r="F15" s="121" t="s">
        <v>1025</v>
      </c>
      <c r="G15" s="103" t="s">
        <v>1001</v>
      </c>
      <c r="H15" s="104" t="n">
        <v>1414.175</v>
      </c>
    </row>
    <row r="16" customFormat="false" ht="13" hidden="false" customHeight="false" outlineLevel="0" collapsed="false">
      <c r="A16" s="117" t="s">
        <v>1026</v>
      </c>
      <c r="B16" s="117"/>
      <c r="C16" s="117"/>
      <c r="F16" s="122"/>
      <c r="G16" s="107" t="s">
        <v>1003</v>
      </c>
      <c r="H16" s="108" t="n">
        <v>314.893</v>
      </c>
    </row>
    <row r="17" customFormat="false" ht="13" hidden="false" customHeight="false" outlineLevel="0" collapsed="false">
      <c r="A17" s="120" t="s">
        <v>1027</v>
      </c>
      <c r="B17" s="120"/>
      <c r="C17" s="120"/>
      <c r="F17" s="122"/>
      <c r="G17" s="110" t="s">
        <v>1005</v>
      </c>
      <c r="H17" s="111" t="n">
        <v>119.71</v>
      </c>
    </row>
    <row r="18" customFormat="false" ht="13" hidden="false" customHeight="false" outlineLevel="0" collapsed="false">
      <c r="A18" s="123" t="s">
        <v>1028</v>
      </c>
      <c r="B18" s="124"/>
      <c r="C18" s="124"/>
      <c r="F18" s="122"/>
      <c r="G18" s="110" t="s">
        <v>1007</v>
      </c>
      <c r="H18" s="111" t="n">
        <v>52.308</v>
      </c>
    </row>
    <row r="19" customFormat="false" ht="13" hidden="false" customHeight="false" outlineLevel="0" collapsed="false">
      <c r="F19" s="122"/>
      <c r="G19" s="110" t="s">
        <v>1009</v>
      </c>
      <c r="H19" s="111" t="n">
        <v>0.189</v>
      </c>
    </row>
    <row r="20" customFormat="false" ht="13" hidden="false" customHeight="false" outlineLevel="0" collapsed="false">
      <c r="F20" s="122"/>
      <c r="G20" s="110" t="s">
        <v>1011</v>
      </c>
      <c r="H20" s="111" t="n">
        <v>49.768</v>
      </c>
    </row>
    <row r="21" customFormat="false" ht="15" hidden="false" customHeight="true" outlineLevel="0" collapsed="false">
      <c r="F21" s="122"/>
      <c r="G21" s="110" t="s">
        <v>1013</v>
      </c>
      <c r="H21" s="111" t="n">
        <v>1.743</v>
      </c>
    </row>
    <row r="22" customFormat="false" ht="13" hidden="false" customHeight="false" outlineLevel="0" collapsed="false">
      <c r="F22" s="122"/>
      <c r="G22" s="110" t="s">
        <v>1015</v>
      </c>
      <c r="H22" s="111" t="n">
        <v>26.49</v>
      </c>
    </row>
    <row r="23" customFormat="false" ht="13" hidden="false" customHeight="false" outlineLevel="0" collapsed="false">
      <c r="F23" s="122"/>
      <c r="G23" s="110" t="s">
        <v>1017</v>
      </c>
      <c r="H23" s="111" t="n">
        <v>105.408</v>
      </c>
    </row>
    <row r="24" customFormat="false" ht="13" hidden="false" customHeight="false" outlineLevel="0" collapsed="false">
      <c r="F24" s="122"/>
      <c r="G24" s="110" t="s">
        <v>1019</v>
      </c>
      <c r="H24" s="111" t="n">
        <v>11.079</v>
      </c>
    </row>
    <row r="25" customFormat="false" ht="15" hidden="false" customHeight="true" outlineLevel="0" collapsed="false">
      <c r="F25" s="122"/>
      <c r="G25" s="110" t="s">
        <v>1021</v>
      </c>
      <c r="H25" s="111" t="n">
        <v>659.429</v>
      </c>
    </row>
    <row r="26" customFormat="false" ht="13" hidden="false" customHeight="false" outlineLevel="0" collapsed="false">
      <c r="F26" s="125"/>
      <c r="G26" s="118" t="s">
        <v>1023</v>
      </c>
      <c r="H26" s="119" t="n">
        <v>73.158</v>
      </c>
    </row>
    <row r="27" customFormat="false" ht="13" hidden="false" customHeight="true" outlineLevel="0" collapsed="false">
      <c r="F27" s="102" t="s">
        <v>1029</v>
      </c>
      <c r="G27" s="103" t="s">
        <v>1001</v>
      </c>
      <c r="H27" s="104" t="n">
        <v>580.015</v>
      </c>
    </row>
    <row r="28" customFormat="false" ht="12.5" hidden="false" customHeight="false" outlineLevel="0" collapsed="false">
      <c r="F28" s="102"/>
      <c r="G28" s="107" t="s">
        <v>1003</v>
      </c>
      <c r="H28" s="108" t="n">
        <v>132.16</v>
      </c>
    </row>
    <row r="29" customFormat="false" ht="12.5" hidden="false" customHeight="false" outlineLevel="0" collapsed="false">
      <c r="F29" s="102"/>
      <c r="G29" s="110" t="s">
        <v>1005</v>
      </c>
      <c r="H29" s="111" t="n">
        <v>34.216</v>
      </c>
    </row>
    <row r="30" customFormat="false" ht="12.5" hidden="false" customHeight="false" outlineLevel="0" collapsed="false">
      <c r="F30" s="102"/>
      <c r="G30" s="110" t="s">
        <v>1007</v>
      </c>
      <c r="H30" s="111" t="n">
        <v>26.17</v>
      </c>
    </row>
    <row r="31" customFormat="false" ht="12.5" hidden="false" customHeight="false" outlineLevel="0" collapsed="false">
      <c r="F31" s="102"/>
      <c r="G31" s="110" t="s">
        <v>1009</v>
      </c>
      <c r="H31" s="111" t="n">
        <v>43.757</v>
      </c>
    </row>
    <row r="32" customFormat="false" ht="12.5" hidden="false" customHeight="false" outlineLevel="0" collapsed="false">
      <c r="F32" s="102"/>
      <c r="G32" s="110" t="s">
        <v>1011</v>
      </c>
      <c r="H32" s="111" t="n">
        <v>37.551</v>
      </c>
    </row>
    <row r="33" customFormat="false" ht="12.5" hidden="false" customHeight="false" outlineLevel="0" collapsed="false">
      <c r="F33" s="102"/>
      <c r="G33" s="110" t="s">
        <v>1013</v>
      </c>
      <c r="H33" s="111" t="n">
        <v>0.609</v>
      </c>
    </row>
    <row r="34" customFormat="false" ht="12.5" hidden="false" customHeight="false" outlineLevel="0" collapsed="false">
      <c r="F34" s="102"/>
      <c r="G34" s="110" t="s">
        <v>1015</v>
      </c>
      <c r="H34" s="111" t="n">
        <v>0.944</v>
      </c>
    </row>
    <row r="35" customFormat="false" ht="12.5" hidden="false" customHeight="false" outlineLevel="0" collapsed="false">
      <c r="F35" s="102"/>
      <c r="G35" s="110" t="s">
        <v>1017</v>
      </c>
      <c r="H35" s="111" t="n">
        <v>67.154</v>
      </c>
    </row>
    <row r="36" customFormat="false" ht="12.5" hidden="false" customHeight="false" outlineLevel="0" collapsed="false">
      <c r="F36" s="102"/>
      <c r="G36" s="110" t="s">
        <v>1019</v>
      </c>
      <c r="H36" s="111" t="n">
        <v>6.683</v>
      </c>
    </row>
    <row r="37" customFormat="false" ht="12.5" hidden="false" customHeight="false" outlineLevel="0" collapsed="false">
      <c r="F37" s="102"/>
      <c r="G37" s="110" t="s">
        <v>1021</v>
      </c>
      <c r="H37" s="111" t="n">
        <v>210.932</v>
      </c>
    </row>
    <row r="38" customFormat="false" ht="12.5" hidden="false" customHeight="false" outlineLevel="0" collapsed="false">
      <c r="F38" s="102"/>
      <c r="G38" s="118" t="s">
        <v>1023</v>
      </c>
      <c r="H38" s="119" t="n">
        <v>19.839</v>
      </c>
    </row>
    <row r="46" customFormat="false" ht="12.5" hidden="false" customHeight="false" outlineLevel="0" collapsed="false">
      <c r="F46" s="117"/>
      <c r="G46" s="117"/>
    </row>
    <row r="47" customFormat="false" ht="12.5" hidden="false" customHeight="false" outlineLevel="0" collapsed="false">
      <c r="D47" s="117"/>
      <c r="E47" s="117"/>
      <c r="F47" s="120"/>
      <c r="G47" s="120"/>
      <c r="H47" s="117"/>
      <c r="I47" s="117"/>
      <c r="J47" s="117"/>
      <c r="K47" s="117"/>
      <c r="L47" s="117"/>
    </row>
    <row r="48" customFormat="false" ht="12.5" hidden="false" customHeight="false" outlineLevel="0" collapsed="false">
      <c r="D48" s="120"/>
      <c r="E48" s="120"/>
      <c r="F48" s="117"/>
      <c r="G48" s="117"/>
      <c r="H48" s="120"/>
      <c r="I48" s="120"/>
      <c r="J48" s="120"/>
      <c r="K48" s="120"/>
      <c r="L48" s="120"/>
    </row>
    <row r="49" customFormat="false" ht="12.5" hidden="false" customHeight="false" outlineLevel="0" collapsed="false">
      <c r="D49" s="117"/>
      <c r="E49" s="117"/>
      <c r="F49" s="120"/>
      <c r="G49" s="120"/>
      <c r="H49" s="117"/>
      <c r="I49" s="117"/>
      <c r="J49" s="117"/>
      <c r="K49" s="117"/>
      <c r="L49" s="117"/>
    </row>
    <row r="50" customFormat="false" ht="12.5" hidden="false" customHeight="false" outlineLevel="0" collapsed="false">
      <c r="D50" s="120"/>
      <c r="E50" s="120"/>
      <c r="F50" s="124"/>
      <c r="G50" s="124"/>
      <c r="H50" s="120"/>
      <c r="I50" s="120"/>
      <c r="J50" s="120"/>
      <c r="K50" s="120"/>
      <c r="L50" s="120"/>
    </row>
    <row r="51" customFormat="false" ht="12.5" hidden="false" customHeight="true" outlineLevel="0" collapsed="false">
      <c r="D51" s="124"/>
      <c r="E51" s="124"/>
      <c r="H51" s="124"/>
      <c r="I51" s="124"/>
      <c r="J51" s="124"/>
      <c r="K51" s="124"/>
      <c r="L51" s="124"/>
    </row>
  </sheetData>
  <mergeCells count="2">
    <mergeCell ref="F3:F14"/>
    <mergeCell ref="F27:F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3" activeCellId="0" sqref="M3:M9"/>
    </sheetView>
  </sheetViews>
  <sheetFormatPr defaultColWidth="11.0546875" defaultRowHeight="12.5" customHeight="false" zeroHeight="false" outlineLevelRow="0" outlineLevelCol="0"/>
  <cols>
    <col collapsed="false" customWidth="true" hidden="false" outlineLevel="0" max="1" min="1" style="0" width="9.9"/>
    <col collapsed="false" customWidth="true" hidden="false" outlineLevel="0" max="2" min="2" style="0" width="17.35"/>
    <col collapsed="false" customWidth="true" hidden="false" outlineLevel="0" max="3" min="3" style="0" width="9.26"/>
    <col collapsed="false" customWidth="true" hidden="false" outlineLevel="0" max="4" min="4" style="0" width="2.44"/>
    <col collapsed="false" customWidth="true" hidden="false" outlineLevel="0" max="5" min="5" style="0" width="9.9"/>
    <col collapsed="false" customWidth="true" hidden="false" outlineLevel="0" max="6" min="6" style="0" width="17.35"/>
    <col collapsed="false" customWidth="true" hidden="false" outlineLevel="0" max="7" min="7" style="0" width="9.26"/>
    <col collapsed="false" customWidth="true" hidden="false" outlineLevel="0" max="8" min="8" style="0" width="2.44"/>
    <col collapsed="false" customWidth="true" hidden="false" outlineLevel="0" max="9" min="9" style="0" width="9.9"/>
    <col collapsed="false" customWidth="true" hidden="false" outlineLevel="0" max="10" min="10" style="0" width="17.35"/>
    <col collapsed="false" customWidth="true" hidden="false" outlineLevel="0" max="11" min="11" style="0" width="9.26"/>
    <col collapsed="false" customWidth="true" hidden="false" outlineLevel="0" max="12" min="12" style="0" width="2.44"/>
    <col collapsed="false" customWidth="true" hidden="false" outlineLevel="0" max="14" min="14" style="0" width="17.35"/>
    <col collapsed="false" customWidth="true" hidden="false" outlineLevel="0" max="15" min="15" style="0" width="9.26"/>
  </cols>
  <sheetData>
    <row r="1" customFormat="false" ht="15" hidden="false" customHeight="false" outlineLevel="0" collapsed="false">
      <c r="A1" s="126" t="s">
        <v>1030</v>
      </c>
    </row>
    <row r="2" customFormat="false" ht="13" hidden="false" customHeight="false" outlineLevel="0" collapsed="false">
      <c r="A2" s="76" t="s">
        <v>982</v>
      </c>
      <c r="C2" s="127" t="n">
        <v>2023</v>
      </c>
      <c r="E2" s="0" t="s">
        <v>1031</v>
      </c>
      <c r="G2" s="127" t="n">
        <v>2023</v>
      </c>
      <c r="I2" s="0" t="s">
        <v>1031</v>
      </c>
      <c r="K2" s="127" t="n">
        <v>2023</v>
      </c>
      <c r="M2" s="0" t="s">
        <v>1031</v>
      </c>
      <c r="O2" s="127" t="n">
        <v>2023</v>
      </c>
    </row>
    <row r="3" customFormat="false" ht="12.5" hidden="false" customHeight="true" outlineLevel="0" collapsed="false">
      <c r="A3" s="128" t="s">
        <v>1032</v>
      </c>
      <c r="B3" s="129" t="s">
        <v>1003</v>
      </c>
      <c r="C3" s="130" t="n">
        <v>120.931</v>
      </c>
      <c r="E3" s="131" t="s">
        <v>1033</v>
      </c>
      <c r="F3" s="132" t="s">
        <v>1003</v>
      </c>
      <c r="G3" s="133" t="n">
        <v>113.401</v>
      </c>
      <c r="I3" s="128" t="s">
        <v>1034</v>
      </c>
      <c r="J3" s="129" t="s">
        <v>1003</v>
      </c>
      <c r="K3" s="130" t="n">
        <v>4.766</v>
      </c>
      <c r="M3" s="128" t="s">
        <v>1035</v>
      </c>
      <c r="N3" s="129" t="s">
        <v>1003</v>
      </c>
      <c r="O3" s="130" t="n">
        <v>2.764</v>
      </c>
    </row>
    <row r="4" customFormat="false" ht="12.5" hidden="false" customHeight="false" outlineLevel="0" collapsed="false">
      <c r="A4" s="128"/>
      <c r="B4" s="132" t="s">
        <v>1013</v>
      </c>
      <c r="C4" s="130" t="n">
        <v>47.758</v>
      </c>
      <c r="E4" s="131"/>
      <c r="F4" s="132" t="s">
        <v>1013</v>
      </c>
      <c r="G4" s="134" t="n">
        <v>47.554</v>
      </c>
      <c r="I4" s="128"/>
      <c r="J4" s="132" t="s">
        <v>1013</v>
      </c>
      <c r="K4" s="130" t="n">
        <v>0.182</v>
      </c>
      <c r="M4" s="128"/>
      <c r="N4" s="132" t="s">
        <v>1013</v>
      </c>
      <c r="O4" s="130" t="n">
        <v>0.022</v>
      </c>
    </row>
    <row r="5" customFormat="false" ht="12.5" hidden="false" customHeight="false" outlineLevel="0" collapsed="false">
      <c r="A5" s="128"/>
      <c r="B5" s="132" t="s">
        <v>1036</v>
      </c>
      <c r="C5" s="130" t="n">
        <v>30.542</v>
      </c>
      <c r="E5" s="131"/>
      <c r="F5" s="132" t="s">
        <v>1036</v>
      </c>
      <c r="G5" s="130" t="n">
        <v>18.616</v>
      </c>
      <c r="I5" s="128"/>
      <c r="J5" s="132" t="s">
        <v>1036</v>
      </c>
      <c r="K5" s="130" t="n">
        <v>1.619</v>
      </c>
      <c r="M5" s="128"/>
      <c r="N5" s="132" t="s">
        <v>1036</v>
      </c>
      <c r="O5" s="130" t="n">
        <v>10.307</v>
      </c>
    </row>
    <row r="6" customFormat="false" ht="12.5" hidden="false" customHeight="false" outlineLevel="0" collapsed="false">
      <c r="A6" s="128"/>
      <c r="B6" s="132" t="s">
        <v>1037</v>
      </c>
      <c r="C6" s="130" t="n">
        <v>763.474</v>
      </c>
      <c r="E6" s="131"/>
      <c r="F6" s="132" t="s">
        <v>1037</v>
      </c>
      <c r="G6" s="134" t="n">
        <v>674.714</v>
      </c>
      <c r="I6" s="128"/>
      <c r="J6" s="132" t="s">
        <v>1037</v>
      </c>
      <c r="K6" s="134" t="n">
        <v>73.473</v>
      </c>
      <c r="M6" s="128"/>
      <c r="N6" s="132" t="s">
        <v>1037</v>
      </c>
      <c r="O6" s="134" t="n">
        <v>15.287</v>
      </c>
    </row>
    <row r="7" customFormat="false" ht="12.5" hidden="false" customHeight="false" outlineLevel="0" collapsed="false">
      <c r="A7" s="128"/>
      <c r="B7" s="132" t="s">
        <v>1038</v>
      </c>
      <c r="C7" s="130" t="n">
        <v>122.969</v>
      </c>
      <c r="E7" s="131"/>
      <c r="F7" s="132" t="s">
        <v>1038</v>
      </c>
      <c r="G7" s="130" t="n">
        <v>106.407</v>
      </c>
      <c r="I7" s="128"/>
      <c r="J7" s="132" t="s">
        <v>1038</v>
      </c>
      <c r="K7" s="130" t="n">
        <v>10.295</v>
      </c>
      <c r="M7" s="128"/>
      <c r="N7" s="132" t="s">
        <v>1038</v>
      </c>
      <c r="O7" s="130" t="n">
        <v>6.267</v>
      </c>
    </row>
    <row r="8" customFormat="false" ht="25" hidden="false" customHeight="false" outlineLevel="0" collapsed="false">
      <c r="A8" s="128"/>
      <c r="B8" s="132" t="s">
        <v>1039</v>
      </c>
      <c r="C8" s="130" t="n">
        <v>11.336</v>
      </c>
      <c r="E8" s="131"/>
      <c r="F8" s="132" t="s">
        <v>1039</v>
      </c>
      <c r="G8" s="135" t="n">
        <v>8.19</v>
      </c>
      <c r="I8" s="128"/>
      <c r="J8" s="132" t="s">
        <v>1039</v>
      </c>
      <c r="K8" s="134" t="n">
        <v>0.39</v>
      </c>
      <c r="M8" s="128"/>
      <c r="N8" s="132" t="s">
        <v>1039</v>
      </c>
      <c r="O8" s="134" t="n">
        <v>2.756</v>
      </c>
    </row>
    <row r="9" customFormat="false" ht="13" hidden="false" customHeight="false" outlineLevel="0" collapsed="false">
      <c r="A9" s="128"/>
      <c r="B9" s="136" t="s">
        <v>1001</v>
      </c>
      <c r="C9" s="137" t="n">
        <v>1097.01</v>
      </c>
      <c r="E9" s="131"/>
      <c r="F9" s="136" t="s">
        <v>1001</v>
      </c>
      <c r="G9" s="137" t="n">
        <v>968.882</v>
      </c>
      <c r="I9" s="128"/>
      <c r="J9" s="136" t="s">
        <v>1001</v>
      </c>
      <c r="K9" s="137" t="n">
        <v>90.725</v>
      </c>
      <c r="M9" s="128"/>
      <c r="N9" s="136" t="s">
        <v>1001</v>
      </c>
      <c r="O9" s="137" t="n">
        <v>37.403</v>
      </c>
    </row>
    <row r="10" customFormat="false" ht="12.5" hidden="false" customHeight="false" outlineLevel="0" collapsed="false">
      <c r="A10" s="138" t="s">
        <v>1040</v>
      </c>
    </row>
    <row r="11" customFormat="false" ht="12.5" hidden="false" customHeight="true" outlineLevel="0" collapsed="false"/>
    <row r="12" customFormat="false" ht="12.5" hidden="false" customHeight="true" outlineLevel="0" collapsed="false"/>
    <row r="13" customFormat="false" ht="12.5" hidden="false" customHeight="true" outlineLevel="0" collapsed="false"/>
    <row r="14" customFormat="false" ht="12.5" hidden="false" customHeight="true" outlineLevel="0" collapsed="false"/>
    <row r="15" customFormat="false" ht="12.5" hidden="false" customHeight="true" outlineLevel="0" collapsed="false"/>
    <row r="16" customFormat="false" ht="12.5" hidden="false" customHeight="true" outlineLevel="0" collapsed="false"/>
    <row r="17" customFormat="false" ht="12.5" hidden="false" customHeight="true" outlineLevel="0" collapsed="false"/>
    <row r="18" customFormat="false" ht="12.5" hidden="false" customHeight="true" outlineLevel="0" collapsed="false"/>
    <row r="19" customFormat="false" ht="12.5" hidden="false" customHeight="true" outlineLevel="0" collapsed="false"/>
    <row r="20" customFormat="false" ht="12.5" hidden="false" customHeight="true" outlineLevel="0" collapsed="false"/>
    <row r="21" customFormat="false" ht="12.5" hidden="false" customHeight="true" outlineLevel="0" collapsed="false"/>
    <row r="22" customFormat="false" ht="12.5" hidden="false" customHeight="true" outlineLevel="0" collapsed="false"/>
    <row r="23" customFormat="false" ht="12.5" hidden="false" customHeight="true" outlineLevel="0" collapsed="false"/>
    <row r="24" customFormat="false" ht="12.5" hidden="false" customHeight="true" outlineLevel="0" collapsed="false"/>
    <row r="25" customFormat="false" ht="12.5" hidden="false" customHeight="true" outlineLevel="0" collapsed="false"/>
    <row r="26" customFormat="false" ht="12.5" hidden="false" customHeight="true" outlineLevel="0" collapsed="false"/>
    <row r="27" customFormat="false" ht="12.5" hidden="false" customHeight="true" outlineLevel="0" collapsed="false"/>
    <row r="28" customFormat="false" ht="12.5" hidden="false" customHeight="true" outlineLevel="0" collapsed="false"/>
    <row r="29" customFormat="false" ht="12.5" hidden="false" customHeight="true" outlineLevel="0" collapsed="false"/>
    <row r="30" customFormat="false" ht="12.5" hidden="false" customHeight="true" outlineLevel="0" collapsed="false"/>
    <row r="31" customFormat="false" ht="12.5" hidden="false" customHeight="true" outlineLevel="0" collapsed="false"/>
  </sheetData>
  <mergeCells count="4">
    <mergeCell ref="A3:A9"/>
    <mergeCell ref="E3:E9"/>
    <mergeCell ref="I3:I9"/>
    <mergeCell ref="M3:M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5" activeCellId="0" sqref="H25"/>
    </sheetView>
  </sheetViews>
  <sheetFormatPr defaultColWidth="11.0546875" defaultRowHeight="13" customHeight="false" zeroHeight="false" outlineLevelRow="0" outlineLevelCol="0"/>
  <cols>
    <col collapsed="false" customWidth="true" hidden="false" outlineLevel="0" max="1" min="1" style="0" width="30.9"/>
    <col collapsed="false" customWidth="true" hidden="false" outlineLevel="0" max="3" min="2" style="0" width="7.72"/>
    <col collapsed="false" customWidth="true" hidden="false" outlineLevel="0" max="4" min="4" style="0" width="9.99"/>
    <col collapsed="false" customWidth="true" hidden="false" outlineLevel="0" max="5" min="5" style="0" width="9.62"/>
    <col collapsed="false" customWidth="true" hidden="false" outlineLevel="0" max="6" min="6" style="54" width="9.08"/>
    <col collapsed="false" customWidth="true" hidden="false" outlineLevel="0" max="7" min="7" style="0" width="3.35"/>
    <col collapsed="false" customWidth="true" hidden="false" outlineLevel="0" max="8" min="8" style="0" width="30.9"/>
    <col collapsed="false" customWidth="true" hidden="false" outlineLevel="0" max="10" min="9" style="0" width="7.9"/>
  </cols>
  <sheetData>
    <row r="1" customFormat="false" ht="13" hidden="false" customHeight="false" outlineLevel="0" collapsed="false">
      <c r="A1" s="139" t="s">
        <v>1041</v>
      </c>
      <c r="B1" s="75"/>
      <c r="C1" s="75"/>
      <c r="D1" s="75"/>
      <c r="E1" s="75"/>
      <c r="F1" s="75"/>
      <c r="H1" s="139" t="s">
        <v>1042</v>
      </c>
      <c r="I1" s="75"/>
      <c r="J1" s="75"/>
      <c r="K1" s="75"/>
      <c r="L1" s="75"/>
      <c r="M1" s="75"/>
    </row>
    <row r="2" customFormat="false" ht="13" hidden="false" customHeight="false" outlineLevel="0" collapsed="false">
      <c r="A2" s="140" t="s">
        <v>982</v>
      </c>
      <c r="B2" s="75"/>
      <c r="C2" s="75"/>
      <c r="D2" s="75"/>
      <c r="E2" s="75"/>
      <c r="F2" s="75"/>
      <c r="H2" s="140" t="s">
        <v>982</v>
      </c>
      <c r="I2" s="75"/>
      <c r="J2" s="75"/>
      <c r="K2" s="75"/>
      <c r="L2" s="75"/>
      <c r="M2" s="75"/>
    </row>
    <row r="3" customFormat="false" ht="13" hidden="false" customHeight="false" outlineLevel="0" collapsed="false">
      <c r="A3" s="141"/>
      <c r="B3" s="142" t="n">
        <v>2023</v>
      </c>
      <c r="C3" s="142"/>
      <c r="D3" s="142"/>
      <c r="E3" s="142"/>
      <c r="F3" s="142"/>
      <c r="H3" s="141"/>
      <c r="I3" s="142" t="n">
        <v>2023</v>
      </c>
      <c r="J3" s="142"/>
      <c r="K3" s="142"/>
      <c r="L3" s="142"/>
      <c r="M3" s="142"/>
    </row>
    <row r="4" customFormat="false" ht="39.5" hidden="false" customHeight="false" outlineLevel="0" collapsed="false">
      <c r="A4" s="141"/>
      <c r="B4" s="143" t="s">
        <v>989</v>
      </c>
      <c r="C4" s="143" t="s">
        <v>985</v>
      </c>
      <c r="D4" s="143" t="s">
        <v>1043</v>
      </c>
      <c r="E4" s="143" t="s">
        <v>1044</v>
      </c>
      <c r="F4" s="144" t="s">
        <v>983</v>
      </c>
      <c r="H4" s="141"/>
      <c r="I4" s="143" t="s">
        <v>989</v>
      </c>
      <c r="J4" s="143" t="s">
        <v>985</v>
      </c>
      <c r="K4" s="143" t="s">
        <v>1043</v>
      </c>
      <c r="L4" s="143" t="s">
        <v>1044</v>
      </c>
      <c r="M4" s="144" t="s">
        <v>983</v>
      </c>
    </row>
    <row r="5" customFormat="false" ht="13" hidden="false" customHeight="false" outlineLevel="0" collapsed="false">
      <c r="A5" s="90" t="s">
        <v>1045</v>
      </c>
      <c r="B5" s="145" t="n">
        <v>22.029</v>
      </c>
      <c r="C5" s="145" t="n">
        <v>18.323</v>
      </c>
      <c r="D5" s="145" t="n">
        <v>0.023</v>
      </c>
      <c r="E5" s="145" t="n">
        <v>5.106</v>
      </c>
      <c r="F5" s="146" t="n">
        <v>45.481</v>
      </c>
      <c r="H5" s="90" t="s">
        <v>1045</v>
      </c>
      <c r="I5" s="145" t="n">
        <v>18.967</v>
      </c>
      <c r="J5" s="145" t="n">
        <v>5.519</v>
      </c>
      <c r="K5" s="145" t="n">
        <v>0.023</v>
      </c>
      <c r="L5" s="145" t="n">
        <v>4.879</v>
      </c>
      <c r="M5" s="146" t="n">
        <v>29.388</v>
      </c>
    </row>
    <row r="6" customFormat="false" ht="13" hidden="false" customHeight="false" outlineLevel="0" collapsed="false">
      <c r="A6" s="82" t="s">
        <v>1046</v>
      </c>
      <c r="B6" s="147" t="n">
        <v>39.321</v>
      </c>
      <c r="C6" s="147" t="n">
        <v>22.479</v>
      </c>
      <c r="D6" s="147" t="n">
        <v>212.292</v>
      </c>
      <c r="E6" s="147" t="n">
        <v>16.039</v>
      </c>
      <c r="F6" s="148" t="n">
        <v>290.131</v>
      </c>
      <c r="H6" s="82" t="s">
        <v>1046</v>
      </c>
      <c r="I6" s="147" t="n">
        <v>37.622</v>
      </c>
      <c r="J6" s="147" t="n">
        <v>16.353</v>
      </c>
      <c r="K6" s="147" t="n">
        <v>211.61</v>
      </c>
      <c r="L6" s="147" t="n">
        <v>15.817</v>
      </c>
      <c r="M6" s="148" t="n">
        <v>281.402</v>
      </c>
    </row>
    <row r="7" customFormat="false" ht="13" hidden="false" customHeight="false" outlineLevel="0" collapsed="false">
      <c r="A7" s="82" t="s">
        <v>1047</v>
      </c>
      <c r="B7" s="147" t="n">
        <v>12.201</v>
      </c>
      <c r="C7" s="147" t="n">
        <v>12.482</v>
      </c>
      <c r="D7" s="147" t="n">
        <v>0.006</v>
      </c>
      <c r="E7" s="147" t="n">
        <v>0.388</v>
      </c>
      <c r="F7" s="148" t="n">
        <v>25.077</v>
      </c>
      <c r="H7" s="82" t="s">
        <v>1047</v>
      </c>
      <c r="I7" s="147" t="n">
        <v>7.019</v>
      </c>
      <c r="J7" s="147" t="n">
        <v>1.723</v>
      </c>
      <c r="K7" s="147" t="n">
        <v>0.006</v>
      </c>
      <c r="L7" s="147" t="n">
        <v>0.12</v>
      </c>
      <c r="M7" s="148" t="n">
        <v>8.868</v>
      </c>
    </row>
    <row r="8" customFormat="false" ht="13" hidden="false" customHeight="false" outlineLevel="0" collapsed="false">
      <c r="A8" s="82" t="s">
        <v>1048</v>
      </c>
      <c r="B8" s="147" t="n">
        <v>123.242</v>
      </c>
      <c r="C8" s="147" t="n">
        <v>16.969</v>
      </c>
      <c r="D8" s="147" t="n">
        <v>0.067</v>
      </c>
      <c r="E8" s="147" t="n">
        <v>1.822</v>
      </c>
      <c r="F8" s="148" t="n">
        <v>142.1</v>
      </c>
      <c r="H8" s="82" t="s">
        <v>1048</v>
      </c>
      <c r="I8" s="147" t="n">
        <v>118.401</v>
      </c>
      <c r="J8" s="147" t="n">
        <v>8.682</v>
      </c>
      <c r="K8" s="147" t="n">
        <v>0.065</v>
      </c>
      <c r="L8" s="147" t="n">
        <v>1.424</v>
      </c>
      <c r="M8" s="148" t="n">
        <v>128.572</v>
      </c>
    </row>
    <row r="9" customFormat="false" ht="37.5" hidden="false" customHeight="false" outlineLevel="0" collapsed="false">
      <c r="A9" s="82" t="s">
        <v>1049</v>
      </c>
      <c r="B9" s="147" t="n">
        <v>967.412</v>
      </c>
      <c r="C9" s="147" t="n">
        <v>385.997</v>
      </c>
      <c r="D9" s="147" t="n">
        <v>0.089</v>
      </c>
      <c r="E9" s="147" t="n">
        <v>136.523</v>
      </c>
      <c r="F9" s="148" t="n">
        <v>1490.021</v>
      </c>
      <c r="H9" s="82" t="s">
        <v>1049</v>
      </c>
      <c r="I9" s="147" t="n">
        <v>801.726</v>
      </c>
      <c r="J9" s="147" t="n">
        <v>168.992</v>
      </c>
      <c r="K9" s="147" t="n">
        <v>0.07</v>
      </c>
      <c r="L9" s="147" t="n">
        <v>134.293</v>
      </c>
      <c r="M9" s="148" t="n">
        <v>1105.081</v>
      </c>
    </row>
    <row r="10" customFormat="false" ht="14.5" hidden="false" customHeight="false" outlineLevel="0" collapsed="false">
      <c r="A10" s="82" t="s">
        <v>1050</v>
      </c>
      <c r="B10" s="147" t="n">
        <v>3.004</v>
      </c>
      <c r="C10" s="147" t="n">
        <v>0.854</v>
      </c>
      <c r="D10" s="147" t="n">
        <v>0.004</v>
      </c>
      <c r="E10" s="147" t="n">
        <v>0.106</v>
      </c>
      <c r="F10" s="148" t="n">
        <v>3.968</v>
      </c>
      <c r="H10" s="82" t="s">
        <v>1050</v>
      </c>
      <c r="I10" s="147" t="n">
        <v>2.834</v>
      </c>
      <c r="J10" s="147" t="n">
        <v>0.802</v>
      </c>
      <c r="K10" s="147" t="n">
        <v>0.004</v>
      </c>
      <c r="L10" s="147" t="n">
        <v>0.104</v>
      </c>
      <c r="M10" s="148" t="n">
        <v>3.744</v>
      </c>
    </row>
    <row r="11" customFormat="false" ht="13" hidden="false" customHeight="false" outlineLevel="0" collapsed="false">
      <c r="A11" s="82" t="s">
        <v>1051</v>
      </c>
      <c r="B11" s="147" t="n">
        <v>181.356</v>
      </c>
      <c r="C11" s="147" t="n">
        <v>21.338</v>
      </c>
      <c r="D11" s="147" t="n">
        <v>100.413</v>
      </c>
      <c r="E11" s="147" t="n">
        <v>2.886</v>
      </c>
      <c r="F11" s="148" t="n">
        <v>305.993</v>
      </c>
      <c r="H11" s="82" t="s">
        <v>1051</v>
      </c>
      <c r="I11" s="147" t="n">
        <v>179.869</v>
      </c>
      <c r="J11" s="147" t="n">
        <v>19.211</v>
      </c>
      <c r="K11" s="147" t="n">
        <v>100.356</v>
      </c>
      <c r="L11" s="147" t="n">
        <v>2.838</v>
      </c>
      <c r="M11" s="148" t="n">
        <v>302.274</v>
      </c>
    </row>
    <row r="12" customFormat="false" ht="13" hidden="false" customHeight="false" outlineLevel="0" collapsed="false">
      <c r="A12" s="82" t="s">
        <v>1052</v>
      </c>
      <c r="B12" s="147" t="n">
        <v>81.91</v>
      </c>
      <c r="C12" s="147" t="n">
        <v>12.528</v>
      </c>
      <c r="D12" s="147" t="n">
        <v>0.091</v>
      </c>
      <c r="E12" s="147" t="n">
        <v>0.447</v>
      </c>
      <c r="F12" s="148" t="n">
        <v>94.976</v>
      </c>
      <c r="H12" s="82" t="s">
        <v>1052</v>
      </c>
      <c r="I12" s="147" t="n">
        <v>79.049</v>
      </c>
      <c r="J12" s="147" t="n">
        <v>12.057</v>
      </c>
      <c r="K12" s="147" t="n">
        <v>0.086</v>
      </c>
      <c r="L12" s="147" t="n">
        <v>0.415</v>
      </c>
      <c r="M12" s="148" t="n">
        <v>91.607</v>
      </c>
    </row>
    <row r="13" customFormat="false" ht="13" hidden="false" customHeight="false" outlineLevel="0" collapsed="false">
      <c r="A13" s="82" t="s">
        <v>1053</v>
      </c>
      <c r="B13" s="147" t="n">
        <v>6.8</v>
      </c>
      <c r="C13" s="147" t="n">
        <v>4.5</v>
      </c>
      <c r="D13" s="147" t="n">
        <v>0.05</v>
      </c>
      <c r="E13" s="147" t="n">
        <v>0.215</v>
      </c>
      <c r="F13" s="148" t="n">
        <v>11.565</v>
      </c>
      <c r="H13" s="82" t="s">
        <v>1053</v>
      </c>
      <c r="I13" s="147" t="n">
        <v>6.414</v>
      </c>
      <c r="J13" s="147" t="n">
        <v>4.322</v>
      </c>
      <c r="K13" s="147" t="n">
        <v>0.047</v>
      </c>
      <c r="L13" s="147" t="n">
        <v>0.204</v>
      </c>
      <c r="M13" s="148" t="n">
        <v>10.987</v>
      </c>
    </row>
    <row r="14" customFormat="false" ht="13" hidden="false" customHeight="false" outlineLevel="0" collapsed="false">
      <c r="A14" s="82" t="s">
        <v>1054</v>
      </c>
      <c r="B14" s="147" t="n">
        <v>16.196</v>
      </c>
      <c r="C14" s="147" t="n">
        <v>75.322</v>
      </c>
      <c r="D14" s="147" t="n">
        <v>0.018</v>
      </c>
      <c r="E14" s="147" t="n">
        <v>2.849</v>
      </c>
      <c r="F14" s="148" t="n">
        <v>94.385</v>
      </c>
      <c r="H14" s="82" t="s">
        <v>1054</v>
      </c>
      <c r="I14" s="147" t="n">
        <v>10.105</v>
      </c>
      <c r="J14" s="147" t="n">
        <v>3.171</v>
      </c>
      <c r="K14" s="147" t="n">
        <v>0.015</v>
      </c>
      <c r="L14" s="147" t="n">
        <v>0.402</v>
      </c>
      <c r="M14" s="148" t="n">
        <v>13.693</v>
      </c>
    </row>
    <row r="15" customFormat="false" ht="13" hidden="false" customHeight="false" outlineLevel="0" collapsed="false">
      <c r="A15" s="149" t="s">
        <v>1055</v>
      </c>
      <c r="B15" s="150" t="n">
        <v>9.536</v>
      </c>
      <c r="C15" s="150" t="n">
        <v>16.899</v>
      </c>
      <c r="D15" s="150" t="n">
        <v>0.008</v>
      </c>
      <c r="E15" s="150" t="n">
        <v>2.122</v>
      </c>
      <c r="F15" s="151" t="n">
        <v>28.565</v>
      </c>
      <c r="H15" s="149" t="s">
        <v>1055</v>
      </c>
      <c r="I15" s="150" t="n">
        <v>3.546</v>
      </c>
      <c r="J15" s="150" t="n">
        <v>1.896</v>
      </c>
      <c r="K15" s="150" t="n">
        <v>0.005</v>
      </c>
      <c r="L15" s="150" t="n">
        <v>0.235</v>
      </c>
      <c r="M15" s="151" t="n">
        <v>5.682</v>
      </c>
    </row>
    <row r="16" customFormat="false" ht="13" hidden="false" customHeight="false" outlineLevel="0" collapsed="false">
      <c r="A16" s="149" t="s">
        <v>1056</v>
      </c>
      <c r="B16" s="150" t="n">
        <v>6.66</v>
      </c>
      <c r="C16" s="150" t="n">
        <v>58.423</v>
      </c>
      <c r="D16" s="150" t="n">
        <v>0.01</v>
      </c>
      <c r="E16" s="150" t="n">
        <v>0.727</v>
      </c>
      <c r="F16" s="151" t="n">
        <v>65.82</v>
      </c>
      <c r="H16" s="149" t="s">
        <v>1056</v>
      </c>
      <c r="I16" s="150" t="n">
        <v>6.559</v>
      </c>
      <c r="J16" s="150" t="n">
        <v>1.275</v>
      </c>
      <c r="K16" s="150" t="n">
        <v>0.01</v>
      </c>
      <c r="L16" s="150" t="n">
        <v>0.167</v>
      </c>
      <c r="M16" s="151" t="n">
        <v>8.011</v>
      </c>
    </row>
    <row r="17" customFormat="false" ht="25" hidden="false" customHeight="false" outlineLevel="0" collapsed="false">
      <c r="A17" s="152" t="s">
        <v>1057</v>
      </c>
      <c r="B17" s="153" t="n">
        <v>51</v>
      </c>
      <c r="C17" s="153" t="n">
        <v>11.907</v>
      </c>
      <c r="D17" s="153" t="n">
        <v>0.31</v>
      </c>
      <c r="E17" s="153" t="n">
        <v>3.323</v>
      </c>
      <c r="F17" s="154" t="n">
        <v>66.54</v>
      </c>
      <c r="H17" s="152" t="s">
        <v>1057</v>
      </c>
      <c r="I17" s="153" t="n">
        <v>39.262</v>
      </c>
      <c r="J17" s="153" t="n">
        <v>4.069</v>
      </c>
      <c r="K17" s="153" t="n">
        <v>0.28</v>
      </c>
      <c r="L17" s="153" t="n">
        <v>2.031</v>
      </c>
      <c r="M17" s="154" t="n">
        <v>45.642</v>
      </c>
    </row>
    <row r="18" customFormat="false" ht="13" hidden="false" customHeight="false" outlineLevel="0" collapsed="false">
      <c r="A18" s="155" t="s">
        <v>983</v>
      </c>
      <c r="B18" s="156" t="n">
        <v>1504.471</v>
      </c>
      <c r="C18" s="156" t="n">
        <v>582.699</v>
      </c>
      <c r="D18" s="156" t="n">
        <v>313.363</v>
      </c>
      <c r="E18" s="156" t="n">
        <v>169.704</v>
      </c>
      <c r="F18" s="157" t="n">
        <v>2570.237</v>
      </c>
      <c r="H18" s="155" t="s">
        <v>983</v>
      </c>
      <c r="I18" s="156" t="n">
        <v>1301.268</v>
      </c>
      <c r="J18" s="156" t="n">
        <v>244.901</v>
      </c>
      <c r="K18" s="156" t="n">
        <v>312.562</v>
      </c>
      <c r="L18" s="156" t="n">
        <v>162.527</v>
      </c>
      <c r="M18" s="157" t="n">
        <v>2021.258</v>
      </c>
    </row>
    <row r="19" customFormat="false" ht="15" hidden="false" customHeight="false" outlineLevel="0" collapsed="false">
      <c r="A19" s="158" t="s">
        <v>1058</v>
      </c>
      <c r="B19" s="159" t="n">
        <v>739.245</v>
      </c>
      <c r="C19" s="159" t="n">
        <v>512.707</v>
      </c>
      <c r="D19" s="159" t="n">
        <v>313.344</v>
      </c>
      <c r="E19" s="159" t="n">
        <v>31.86</v>
      </c>
      <c r="F19" s="160" t="n">
        <v>1597.156</v>
      </c>
      <c r="H19" s="158" t="s">
        <v>1058</v>
      </c>
      <c r="I19" s="159" t="n">
        <v>599.108</v>
      </c>
      <c r="J19" s="159" t="n">
        <v>188.289</v>
      </c>
      <c r="K19" s="159" t="n">
        <v>312.544</v>
      </c>
      <c r="L19" s="159" t="n">
        <v>24.72</v>
      </c>
      <c r="M19" s="160" t="n">
        <v>1124.661</v>
      </c>
    </row>
    <row r="21" customFormat="false" ht="13" hidden="false" customHeight="false" outlineLevel="0" collapsed="false">
      <c r="E21" s="54"/>
      <c r="F21" s="0"/>
    </row>
    <row r="22" customFormat="false" ht="13" hidden="false" customHeight="false" outlineLevel="0" collapsed="false">
      <c r="A22" s="161" t="s">
        <v>1059</v>
      </c>
      <c r="B22" s="162"/>
      <c r="C22" s="162"/>
      <c r="D22" s="162"/>
      <c r="E22" s="161"/>
      <c r="F22" s="162"/>
    </row>
    <row r="23" customFormat="false" ht="13" hidden="false" customHeight="false" outlineLevel="0" collapsed="false">
      <c r="A23" s="162" t="s">
        <v>982</v>
      </c>
      <c r="B23" s="162"/>
      <c r="C23" s="162"/>
      <c r="D23" s="162"/>
      <c r="E23" s="161"/>
      <c r="F23" s="162"/>
    </row>
    <row r="24" customFormat="false" ht="13" hidden="false" customHeight="false" outlineLevel="0" collapsed="false">
      <c r="A24" s="163"/>
      <c r="B24" s="164" t="n">
        <v>2023</v>
      </c>
      <c r="C24" s="164"/>
      <c r="D24" s="164"/>
      <c r="E24" s="164"/>
      <c r="F24" s="165"/>
    </row>
    <row r="25" customFormat="false" ht="39" hidden="false" customHeight="false" outlineLevel="0" collapsed="false">
      <c r="A25" s="166"/>
      <c r="B25" s="167" t="s">
        <v>1060</v>
      </c>
      <c r="C25" s="168" t="s">
        <v>1061</v>
      </c>
      <c r="D25" s="168" t="s">
        <v>1062</v>
      </c>
      <c r="E25" s="169" t="s">
        <v>1063</v>
      </c>
      <c r="F25" s="170" t="s">
        <v>1064</v>
      </c>
    </row>
    <row r="26" customFormat="false" ht="13" hidden="false" customHeight="false" outlineLevel="0" collapsed="false">
      <c r="A26" s="171" t="s">
        <v>1065</v>
      </c>
      <c r="B26" s="172" t="n">
        <v>1164.361</v>
      </c>
      <c r="C26" s="172" t="n">
        <v>435.925</v>
      </c>
      <c r="D26" s="172" t="n">
        <v>391.483</v>
      </c>
      <c r="E26" s="173" t="n">
        <v>29.489</v>
      </c>
      <c r="F26" s="174" t="n">
        <v>2021.258</v>
      </c>
    </row>
    <row r="27" customFormat="false" ht="13" hidden="false" customHeight="false" outlineLevel="0" collapsed="false">
      <c r="A27" s="171" t="s">
        <v>1029</v>
      </c>
      <c r="B27" s="172" t="n">
        <v>245.725</v>
      </c>
      <c r="C27" s="172" t="n">
        <v>168.542</v>
      </c>
      <c r="D27" s="172" t="n">
        <v>105.405</v>
      </c>
      <c r="E27" s="173" t="n">
        <v>29.307</v>
      </c>
      <c r="F27" s="174" t="n">
        <v>548.979</v>
      </c>
    </row>
    <row r="28" customFormat="false" ht="13" hidden="false" customHeight="false" outlineLevel="0" collapsed="false">
      <c r="A28" s="175" t="s">
        <v>1066</v>
      </c>
      <c r="B28" s="176" t="n">
        <v>1410.086</v>
      </c>
      <c r="C28" s="176" t="n">
        <v>604.467</v>
      </c>
      <c r="D28" s="176" t="n">
        <v>496.888</v>
      </c>
      <c r="E28" s="177" t="n">
        <v>58.796</v>
      </c>
      <c r="F28" s="174" t="n">
        <v>2570.237</v>
      </c>
    </row>
  </sheetData>
  <mergeCells count="5">
    <mergeCell ref="A3:A4"/>
    <mergeCell ref="B3:F3"/>
    <mergeCell ref="H3:H4"/>
    <mergeCell ref="I3:M3"/>
    <mergeCell ref="B24:E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3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0546875" defaultRowHeight="13.15" customHeight="true" zeroHeight="false" outlineLevelRow="0" outlineLevelCol="0"/>
  <cols>
    <col collapsed="false" customWidth="true" hidden="false" outlineLevel="0" max="1" min="1" style="178" width="8.81"/>
    <col collapsed="false" customWidth="true" hidden="false" outlineLevel="0" max="2" min="2" style="178" width="5.35"/>
    <col collapsed="false" customWidth="true" hidden="false" outlineLevel="0" max="3" min="3" style="178" width="6.99"/>
    <col collapsed="false" customWidth="true" hidden="false" outlineLevel="0" max="4" min="4" style="178" width="39.26"/>
    <col collapsed="false" customWidth="true" hidden="false" outlineLevel="0" max="14" min="5" style="178" width="8.72"/>
    <col collapsed="false" customWidth="true" hidden="false" outlineLevel="0" max="16" min="15" style="179" width="8.72"/>
    <col collapsed="false" customWidth="true" hidden="false" outlineLevel="0" max="17" min="17" style="180" width="1.26"/>
    <col collapsed="false" customWidth="true" hidden="false" outlineLevel="0" max="18" min="18" style="181" width="8.08"/>
    <col collapsed="false" customWidth="true" hidden="false" outlineLevel="0" max="19" min="19" style="179" width="8.08"/>
    <col collapsed="false" customWidth="true" hidden="false" outlineLevel="0" max="20" min="20" style="182" width="8.08"/>
    <col collapsed="false" customWidth="true" hidden="false" outlineLevel="0" max="21" min="21" style="181" width="8.08"/>
    <col collapsed="false" customWidth="true" hidden="false" outlineLevel="0" max="22" min="22" style="179" width="8.08"/>
    <col collapsed="false" customWidth="true" hidden="false" outlineLevel="0" max="23" min="23" style="182" width="8.08"/>
    <col collapsed="false" customWidth="true" hidden="false" outlineLevel="0" max="24" min="24" style="181" width="8.08"/>
    <col collapsed="false" customWidth="true" hidden="false" outlineLevel="0" max="25" min="25" style="178" width="8.08"/>
  </cols>
  <sheetData>
    <row r="1" customFormat="false" ht="13" hidden="false" customHeight="true" outlineLevel="0" collapsed="false">
      <c r="A1" s="183"/>
      <c r="B1" s="184"/>
      <c r="C1" s="184"/>
      <c r="D1" s="184"/>
      <c r="E1" s="184" t="s">
        <v>1067</v>
      </c>
      <c r="F1" s="184"/>
      <c r="G1" s="184"/>
      <c r="H1" s="184"/>
      <c r="I1" s="184"/>
      <c r="J1" s="184"/>
      <c r="K1" s="184"/>
      <c r="L1" s="184"/>
      <c r="M1" s="184"/>
      <c r="N1" s="184"/>
      <c r="O1" s="180"/>
      <c r="P1" s="180"/>
      <c r="R1" s="185" t="s">
        <v>1068</v>
      </c>
      <c r="S1" s="180"/>
      <c r="T1" s="186"/>
      <c r="U1" s="185"/>
      <c r="V1" s="180"/>
      <c r="W1" s="186"/>
      <c r="X1" s="185"/>
      <c r="Y1" s="184"/>
    </row>
    <row r="2" customFormat="false" ht="36" hidden="false" customHeight="true" outlineLevel="0" collapsed="false">
      <c r="A2" s="187" t="s">
        <v>1069</v>
      </c>
      <c r="B2" s="188" t="s">
        <v>1070</v>
      </c>
      <c r="C2" s="187" t="s">
        <v>1071</v>
      </c>
      <c r="D2" s="187" t="s">
        <v>1072</v>
      </c>
      <c r="E2" s="189" t="s">
        <v>1073</v>
      </c>
      <c r="F2" s="189" t="s">
        <v>1074</v>
      </c>
      <c r="G2" s="190" t="s">
        <v>1075</v>
      </c>
      <c r="H2" s="190" t="s">
        <v>1076</v>
      </c>
      <c r="I2" s="190" t="s">
        <v>1077</v>
      </c>
      <c r="J2" s="191" t="s">
        <v>1078</v>
      </c>
      <c r="K2" s="192" t="s">
        <v>1079</v>
      </c>
      <c r="L2" s="190" t="s">
        <v>1080</v>
      </c>
      <c r="M2" s="190" t="s">
        <v>1081</v>
      </c>
      <c r="N2" s="190" t="s">
        <v>1082</v>
      </c>
      <c r="O2" s="193" t="s">
        <v>1083</v>
      </c>
      <c r="P2" s="194" t="s">
        <v>1084</v>
      </c>
      <c r="Q2" s="195"/>
      <c r="R2" s="196" t="s">
        <v>1085</v>
      </c>
      <c r="S2" s="197" t="s">
        <v>1086</v>
      </c>
      <c r="T2" s="198" t="s">
        <v>1087</v>
      </c>
      <c r="U2" s="196" t="s">
        <v>1088</v>
      </c>
      <c r="V2" s="197" t="s">
        <v>1089</v>
      </c>
      <c r="W2" s="199" t="s">
        <v>1090</v>
      </c>
      <c r="X2" s="187" t="s">
        <v>1091</v>
      </c>
      <c r="Y2" s="200" t="s">
        <v>1091</v>
      </c>
    </row>
    <row r="3" customFormat="false" ht="20.5" hidden="false" customHeight="true" outlineLevel="0" collapsed="false">
      <c r="A3" s="201" t="s">
        <v>1092</v>
      </c>
      <c r="B3" s="202"/>
      <c r="C3" s="201"/>
      <c r="D3" s="201" t="s">
        <v>1093</v>
      </c>
      <c r="E3" s="203" t="n">
        <v>2023</v>
      </c>
      <c r="F3" s="203" t="n">
        <v>2023</v>
      </c>
      <c r="G3" s="204" t="n">
        <v>2024</v>
      </c>
      <c r="H3" s="204" t="n">
        <v>2024</v>
      </c>
      <c r="I3" s="204" t="n">
        <v>2024</v>
      </c>
      <c r="J3" s="204" t="n">
        <v>2024</v>
      </c>
      <c r="K3" s="205" t="n">
        <v>2024</v>
      </c>
      <c r="L3" s="204" t="n">
        <v>2024</v>
      </c>
      <c r="M3" s="206" t="n">
        <v>2024</v>
      </c>
      <c r="N3" s="204"/>
      <c r="O3" s="207" t="s">
        <v>1094</v>
      </c>
      <c r="P3" s="207" t="s">
        <v>1095</v>
      </c>
      <c r="Q3" s="195"/>
      <c r="R3" s="204"/>
      <c r="S3" s="207"/>
      <c r="T3" s="208"/>
      <c r="U3" s="204"/>
      <c r="V3" s="207"/>
      <c r="W3" s="208"/>
      <c r="X3" s="204" t="s">
        <v>1096</v>
      </c>
      <c r="Y3" s="209" t="s">
        <v>1097</v>
      </c>
    </row>
    <row r="4" customFormat="false" ht="12.5" hidden="false" customHeight="true" outlineLevel="0" collapsed="false">
      <c r="A4" s="210" t="s">
        <v>1070</v>
      </c>
      <c r="B4" s="211" t="s">
        <v>1098</v>
      </c>
      <c r="C4" s="211"/>
      <c r="D4" s="212" t="s">
        <v>1099</v>
      </c>
      <c r="E4" s="213"/>
      <c r="F4" s="213" t="n">
        <v>10693.72</v>
      </c>
      <c r="G4" s="214" t="n">
        <v>10923.42</v>
      </c>
      <c r="H4" s="214"/>
      <c r="I4" s="215" t="n">
        <v>10707.33</v>
      </c>
      <c r="J4" s="216" t="n">
        <v>-216.09</v>
      </c>
      <c r="K4" s="214"/>
      <c r="L4" s="214"/>
      <c r="M4" s="214" t="n">
        <v>0.89</v>
      </c>
      <c r="N4" s="217" t="n">
        <v>12.72</v>
      </c>
      <c r="O4" s="218" t="n">
        <v>33.71</v>
      </c>
      <c r="P4" s="219" t="n">
        <v>-20</v>
      </c>
      <c r="Q4" s="220"/>
      <c r="R4" s="217" t="n">
        <v>528.5</v>
      </c>
      <c r="S4" s="218" t="n">
        <v>313.8</v>
      </c>
      <c r="T4" s="221"/>
      <c r="U4" s="217" t="n">
        <v>536.7</v>
      </c>
      <c r="V4" s="218" t="n">
        <v>363.6</v>
      </c>
      <c r="W4" s="222"/>
      <c r="X4" s="216" t="n">
        <v>8.19999999999999</v>
      </c>
      <c r="Y4" s="223" t="n">
        <v>13</v>
      </c>
    </row>
    <row r="5" customFormat="false" ht="12.5" hidden="false" customHeight="true" outlineLevel="0" collapsed="false">
      <c r="A5" s="210" t="s">
        <v>18</v>
      </c>
      <c r="B5" s="211" t="s">
        <v>1098</v>
      </c>
      <c r="C5" s="224" t="s">
        <v>1100</v>
      </c>
      <c r="D5" s="225" t="s">
        <v>1101</v>
      </c>
      <c r="E5" s="226"/>
      <c r="F5" s="226" t="n">
        <v>10215</v>
      </c>
      <c r="G5" s="227" t="n">
        <v>10439</v>
      </c>
      <c r="H5" s="227"/>
      <c r="I5" s="227" t="n">
        <v>10251</v>
      </c>
      <c r="J5" s="228" t="n">
        <v>-188</v>
      </c>
      <c r="K5" s="227"/>
      <c r="L5" s="227"/>
      <c r="M5" s="227" t="n">
        <v>1.83</v>
      </c>
      <c r="N5" s="229" t="n">
        <v>34.17</v>
      </c>
      <c r="O5" s="230" t="n">
        <v>43.6</v>
      </c>
      <c r="P5" s="231" t="n">
        <v>-9</v>
      </c>
      <c r="Q5" s="220"/>
      <c r="R5" s="229" t="n">
        <v>407</v>
      </c>
      <c r="S5" s="230" t="n">
        <v>270</v>
      </c>
      <c r="T5" s="232"/>
      <c r="U5" s="229" t="n">
        <v>435</v>
      </c>
      <c r="V5" s="230" t="n">
        <v>281</v>
      </c>
      <c r="W5" s="233"/>
      <c r="X5" s="228" t="n">
        <v>28</v>
      </c>
      <c r="Y5" s="234" t="n">
        <v>28</v>
      </c>
    </row>
    <row r="6" customFormat="false" ht="12.5" hidden="false" customHeight="true" outlineLevel="0" collapsed="false">
      <c r="A6" s="210" t="s">
        <v>20</v>
      </c>
      <c r="B6" s="211" t="s">
        <v>1098</v>
      </c>
      <c r="C6" s="235" t="n">
        <v>613</v>
      </c>
      <c r="D6" s="236" t="s">
        <v>1102</v>
      </c>
      <c r="E6" s="237"/>
      <c r="F6" s="237" t="n">
        <v>10215</v>
      </c>
      <c r="G6" s="238" t="n">
        <v>10439</v>
      </c>
      <c r="H6" s="238"/>
      <c r="I6" s="238" t="n">
        <v>10251</v>
      </c>
      <c r="J6" s="239" t="n">
        <v>-188</v>
      </c>
      <c r="K6" s="238"/>
      <c r="L6" s="238"/>
      <c r="M6" s="238" t="n">
        <v>1.83</v>
      </c>
      <c r="N6" s="240" t="n">
        <v>34.17</v>
      </c>
      <c r="O6" s="241" t="n">
        <v>43.6</v>
      </c>
      <c r="P6" s="242" t="n">
        <v>-9</v>
      </c>
      <c r="Q6" s="220"/>
      <c r="R6" s="240" t="n">
        <v>407</v>
      </c>
      <c r="S6" s="241" t="n">
        <v>270</v>
      </c>
      <c r="T6" s="243"/>
      <c r="U6" s="240" t="n">
        <v>435</v>
      </c>
      <c r="V6" s="241" t="n">
        <v>281</v>
      </c>
      <c r="W6" s="244"/>
      <c r="X6" s="239" t="n">
        <v>28</v>
      </c>
      <c r="Y6" s="245" t="n">
        <v>28</v>
      </c>
    </row>
    <row r="7" customFormat="false" ht="12.5" hidden="false" customHeight="true" outlineLevel="0" collapsed="false">
      <c r="A7" s="210" t="s">
        <v>1103</v>
      </c>
      <c r="B7" s="211" t="s">
        <v>1098</v>
      </c>
      <c r="C7" s="246" t="s">
        <v>1104</v>
      </c>
      <c r="D7" s="247" t="s">
        <v>1105</v>
      </c>
      <c r="E7" s="248"/>
      <c r="F7" s="248" t="n">
        <v>2743</v>
      </c>
      <c r="G7" s="249" t="n">
        <v>2761</v>
      </c>
      <c r="H7" s="249"/>
      <c r="I7" s="249" t="n">
        <v>2737</v>
      </c>
      <c r="J7" s="250" t="n">
        <v>-24</v>
      </c>
      <c r="K7" s="249"/>
      <c r="L7" s="249"/>
      <c r="M7" s="249" t="n">
        <v>-22.85</v>
      </c>
      <c r="N7" s="251" t="n">
        <v>16.85</v>
      </c>
      <c r="O7" s="252" t="n">
        <v>18.32</v>
      </c>
      <c r="P7" s="253" t="n">
        <v>-1</v>
      </c>
      <c r="Q7" s="220"/>
      <c r="R7" s="251" t="n">
        <v>163</v>
      </c>
      <c r="S7" s="252" t="n">
        <v>83</v>
      </c>
      <c r="T7" s="254" t="n">
        <v>6.7</v>
      </c>
      <c r="U7" s="251" t="n">
        <v>174</v>
      </c>
      <c r="V7" s="252" t="n">
        <v>55</v>
      </c>
      <c r="W7" s="255" t="n">
        <v>7.2</v>
      </c>
      <c r="X7" s="250" t="n">
        <v>11</v>
      </c>
      <c r="Y7" s="256" t="n">
        <v>3</v>
      </c>
    </row>
    <row r="8" customFormat="false" ht="12.5" hidden="false" customHeight="true" outlineLevel="0" collapsed="false">
      <c r="A8" s="210" t="s">
        <v>1103</v>
      </c>
      <c r="B8" s="211" t="s">
        <v>1098</v>
      </c>
      <c r="C8" s="246" t="s">
        <v>1106</v>
      </c>
      <c r="D8" s="247" t="s">
        <v>1107</v>
      </c>
      <c r="E8" s="248"/>
      <c r="F8" s="248" t="n">
        <v>3936</v>
      </c>
      <c r="G8" s="249" t="n">
        <v>3991</v>
      </c>
      <c r="H8" s="249"/>
      <c r="I8" s="249" t="n">
        <v>3996</v>
      </c>
      <c r="J8" s="250" t="n">
        <v>5</v>
      </c>
      <c r="K8" s="249"/>
      <c r="L8" s="249"/>
      <c r="M8" s="249" t="n">
        <v>21.19</v>
      </c>
      <c r="N8" s="251" t="n">
        <v>38.81</v>
      </c>
      <c r="O8" s="252" t="n">
        <v>5.5</v>
      </c>
      <c r="P8" s="253" t="n">
        <v>33</v>
      </c>
      <c r="Q8" s="220"/>
      <c r="R8" s="251" t="n">
        <v>73</v>
      </c>
      <c r="S8" s="252" t="n">
        <v>48</v>
      </c>
      <c r="T8" s="254" t="n">
        <v>7.7</v>
      </c>
      <c r="U8" s="251" t="n">
        <v>138</v>
      </c>
      <c r="V8" s="252" t="n">
        <v>123</v>
      </c>
      <c r="W8" s="255" t="n">
        <v>7.3</v>
      </c>
      <c r="X8" s="250" t="n">
        <v>65</v>
      </c>
      <c r="Y8" s="256" t="n">
        <v>61</v>
      </c>
    </row>
    <row r="9" customFormat="false" ht="12.5" hidden="false" customHeight="true" outlineLevel="0" collapsed="false">
      <c r="A9" s="210" t="s">
        <v>1103</v>
      </c>
      <c r="B9" s="211" t="s">
        <v>1098</v>
      </c>
      <c r="C9" s="246" t="s">
        <v>1108</v>
      </c>
      <c r="D9" s="247" t="s">
        <v>1109</v>
      </c>
      <c r="E9" s="248"/>
      <c r="F9" s="248" t="n">
        <v>2990</v>
      </c>
      <c r="G9" s="249" t="n">
        <v>3090</v>
      </c>
      <c r="H9" s="249"/>
      <c r="I9" s="249" t="n">
        <v>2987</v>
      </c>
      <c r="J9" s="250" t="n">
        <v>-103</v>
      </c>
      <c r="K9" s="249"/>
      <c r="L9" s="249"/>
      <c r="M9" s="249" t="n">
        <v>-1.63</v>
      </c>
      <c r="N9" s="251" t="n">
        <v>-1.37</v>
      </c>
      <c r="O9" s="252" t="n">
        <v>27.43</v>
      </c>
      <c r="P9" s="253" t="n">
        <v>-29</v>
      </c>
      <c r="Q9" s="220"/>
      <c r="R9" s="251" t="n">
        <v>135</v>
      </c>
      <c r="S9" s="252" t="n">
        <v>115</v>
      </c>
      <c r="T9" s="254" t="n">
        <v>6.2</v>
      </c>
      <c r="U9" s="251" t="n">
        <v>108</v>
      </c>
      <c r="V9" s="252" t="n">
        <v>103</v>
      </c>
      <c r="W9" s="255" t="n">
        <v>7.7</v>
      </c>
      <c r="X9" s="250" t="n">
        <v>-27</v>
      </c>
      <c r="Y9" s="256" t="n">
        <v>-13</v>
      </c>
    </row>
    <row r="10" customFormat="false" ht="12.5" hidden="false" customHeight="true" outlineLevel="0" collapsed="false">
      <c r="A10" s="210" t="s">
        <v>1103</v>
      </c>
      <c r="B10" s="211" t="s">
        <v>1098</v>
      </c>
      <c r="C10" s="246" t="s">
        <v>1110</v>
      </c>
      <c r="D10" s="247" t="s">
        <v>1111</v>
      </c>
      <c r="E10" s="248"/>
      <c r="F10" s="248" t="n">
        <v>546</v>
      </c>
      <c r="G10" s="249" t="n">
        <v>597</v>
      </c>
      <c r="H10" s="249"/>
      <c r="I10" s="249" t="n">
        <v>531</v>
      </c>
      <c r="J10" s="250" t="n">
        <v>-66</v>
      </c>
      <c r="K10" s="249"/>
      <c r="L10" s="249"/>
      <c r="M10" s="249" t="n">
        <v>5.12</v>
      </c>
      <c r="N10" s="251" t="n">
        <v>-20.12</v>
      </c>
      <c r="O10" s="252" t="n">
        <v>-7.65</v>
      </c>
      <c r="P10" s="253" t="n">
        <v>-12</v>
      </c>
      <c r="Q10" s="220"/>
      <c r="R10" s="251" t="n">
        <v>36</v>
      </c>
      <c r="S10" s="252" t="n">
        <v>24</v>
      </c>
      <c r="T10" s="254" t="n">
        <v>6.3</v>
      </c>
      <c r="U10" s="251" t="n">
        <v>15</v>
      </c>
      <c r="V10" s="252"/>
      <c r="W10" s="255" t="n">
        <v>6.9</v>
      </c>
      <c r="X10" s="250" t="n">
        <v>-21</v>
      </c>
      <c r="Y10" s="256" t="n">
        <v>-23</v>
      </c>
    </row>
    <row r="11" customFormat="false" ht="12.5" hidden="false" customHeight="true" outlineLevel="0" collapsed="false">
      <c r="A11" s="210" t="s">
        <v>18</v>
      </c>
      <c r="B11" s="211" t="s">
        <v>1098</v>
      </c>
      <c r="C11" s="224" t="s">
        <v>1112</v>
      </c>
      <c r="D11" s="225" t="s">
        <v>1113</v>
      </c>
      <c r="E11" s="226"/>
      <c r="F11" s="226" t="n">
        <v>478.72</v>
      </c>
      <c r="G11" s="227" t="n">
        <v>484.42</v>
      </c>
      <c r="H11" s="227"/>
      <c r="I11" s="227" t="n">
        <v>456.33</v>
      </c>
      <c r="J11" s="228" t="n">
        <v>-28.09</v>
      </c>
      <c r="K11" s="227"/>
      <c r="L11" s="227"/>
      <c r="M11" s="227" t="n">
        <v>-0.94</v>
      </c>
      <c r="N11" s="229" t="n">
        <v>-21.45</v>
      </c>
      <c r="O11" s="230" t="n">
        <v>-9.89</v>
      </c>
      <c r="P11" s="231" t="n">
        <v>-11</v>
      </c>
      <c r="Q11" s="220"/>
      <c r="R11" s="229" t="n">
        <v>121.5</v>
      </c>
      <c r="S11" s="230" t="n">
        <v>43.8</v>
      </c>
      <c r="T11" s="232"/>
      <c r="U11" s="229" t="n">
        <v>101.7</v>
      </c>
      <c r="V11" s="230" t="n">
        <v>82.6</v>
      </c>
      <c r="W11" s="233"/>
      <c r="X11" s="228" t="n">
        <v>-19.8</v>
      </c>
      <c r="Y11" s="234" t="n">
        <v>-15</v>
      </c>
    </row>
    <row r="12" customFormat="false" ht="12.5" hidden="false" customHeight="true" outlineLevel="0" collapsed="false">
      <c r="A12" s="210" t="s">
        <v>20</v>
      </c>
      <c r="B12" s="211" t="s">
        <v>1098</v>
      </c>
      <c r="C12" s="235" t="n">
        <v>624</v>
      </c>
      <c r="D12" s="236" t="s">
        <v>1114</v>
      </c>
      <c r="E12" s="237"/>
      <c r="F12" s="237" t="n">
        <v>478.72</v>
      </c>
      <c r="G12" s="238" t="n">
        <v>484.42</v>
      </c>
      <c r="H12" s="238"/>
      <c r="I12" s="238" t="n">
        <v>456.33</v>
      </c>
      <c r="J12" s="239" t="n">
        <v>-28.09</v>
      </c>
      <c r="K12" s="238"/>
      <c r="L12" s="238"/>
      <c r="M12" s="238" t="n">
        <v>-0.94</v>
      </c>
      <c r="N12" s="240" t="n">
        <v>-21.45</v>
      </c>
      <c r="O12" s="241" t="n">
        <v>-9.89</v>
      </c>
      <c r="P12" s="242" t="n">
        <v>-11</v>
      </c>
      <c r="Q12" s="220"/>
      <c r="R12" s="240" t="n">
        <v>121.5</v>
      </c>
      <c r="S12" s="241" t="n">
        <v>43.8</v>
      </c>
      <c r="T12" s="243"/>
      <c r="U12" s="240" t="n">
        <v>101.7</v>
      </c>
      <c r="V12" s="241" t="n">
        <v>82.6</v>
      </c>
      <c r="W12" s="244"/>
      <c r="X12" s="239" t="n">
        <v>-19.8</v>
      </c>
      <c r="Y12" s="245" t="n">
        <v>-15</v>
      </c>
    </row>
    <row r="13" customFormat="false" ht="12.5" hidden="false" customHeight="true" outlineLevel="0" collapsed="false">
      <c r="A13" s="210" t="s">
        <v>1103</v>
      </c>
      <c r="B13" s="211" t="s">
        <v>1098</v>
      </c>
      <c r="C13" s="246" t="s">
        <v>1115</v>
      </c>
      <c r="D13" s="247" t="s">
        <v>1116</v>
      </c>
      <c r="E13" s="248"/>
      <c r="F13" s="248" t="n">
        <v>10.07</v>
      </c>
      <c r="G13" s="249" t="n">
        <v>8</v>
      </c>
      <c r="H13" s="249"/>
      <c r="I13" s="249" t="n">
        <v>9.75</v>
      </c>
      <c r="J13" s="250" t="n">
        <v>1.75</v>
      </c>
      <c r="K13" s="249"/>
      <c r="L13" s="249"/>
      <c r="M13" s="249"/>
      <c r="N13" s="251" t="n">
        <v>-0.32</v>
      </c>
      <c r="O13" s="252" t="n">
        <v>0.01</v>
      </c>
      <c r="P13" s="253"/>
      <c r="Q13" s="220"/>
      <c r="R13" s="251" t="n">
        <v>5</v>
      </c>
      <c r="S13" s="252"/>
      <c r="T13" s="254" t="n">
        <v>6.61</v>
      </c>
      <c r="U13" s="251" t="n">
        <v>4</v>
      </c>
      <c r="V13" s="252" t="n">
        <v>3</v>
      </c>
      <c r="W13" s="255" t="n">
        <v>6</v>
      </c>
      <c r="X13" s="250" t="n">
        <v>-1</v>
      </c>
      <c r="Y13" s="256"/>
    </row>
    <row r="14" customFormat="false" ht="12.5" hidden="false" customHeight="true" outlineLevel="0" collapsed="false">
      <c r="A14" s="210" t="s">
        <v>1103</v>
      </c>
      <c r="B14" s="211" t="s">
        <v>1098</v>
      </c>
      <c r="C14" s="246" t="s">
        <v>1117</v>
      </c>
      <c r="D14" s="247" t="s">
        <v>1060</v>
      </c>
      <c r="E14" s="248"/>
      <c r="F14" s="248" t="n">
        <v>83.97</v>
      </c>
      <c r="G14" s="249" t="n">
        <v>88.92</v>
      </c>
      <c r="H14" s="249"/>
      <c r="I14" s="249" t="n">
        <v>80.9</v>
      </c>
      <c r="J14" s="250" t="n">
        <v>-8.02</v>
      </c>
      <c r="K14" s="249"/>
      <c r="L14" s="249"/>
      <c r="M14" s="249" t="n">
        <v>-0.39</v>
      </c>
      <c r="N14" s="251" t="n">
        <v>-2.67999999999999</v>
      </c>
      <c r="O14" s="252" t="n">
        <v>-1.16</v>
      </c>
      <c r="P14" s="253" t="n">
        <v>-2</v>
      </c>
      <c r="Q14" s="220"/>
      <c r="R14" s="251" t="n">
        <v>14.3</v>
      </c>
      <c r="S14" s="252" t="n">
        <v>4</v>
      </c>
      <c r="T14" s="254" t="n">
        <v>7.34</v>
      </c>
      <c r="U14" s="251" t="n">
        <v>8.7</v>
      </c>
      <c r="V14" s="252" t="n">
        <v>4.8</v>
      </c>
      <c r="W14" s="255" t="n">
        <v>5.8</v>
      </c>
      <c r="X14" s="250" t="n">
        <v>-5.6</v>
      </c>
      <c r="Y14" s="256" t="n">
        <v>3</v>
      </c>
    </row>
    <row r="15" customFormat="false" ht="12.5" hidden="false" customHeight="true" outlineLevel="0" collapsed="false">
      <c r="A15" s="210" t="s">
        <v>1103</v>
      </c>
      <c r="B15" s="211" t="s">
        <v>1098</v>
      </c>
      <c r="C15" s="246" t="s">
        <v>1118</v>
      </c>
      <c r="D15" s="247" t="s">
        <v>1061</v>
      </c>
      <c r="E15" s="248"/>
      <c r="F15" s="248" t="n">
        <v>19.16</v>
      </c>
      <c r="G15" s="249" t="n">
        <v>16.25</v>
      </c>
      <c r="H15" s="249"/>
      <c r="I15" s="249" t="n">
        <v>18.95</v>
      </c>
      <c r="J15" s="250" t="n">
        <v>2.7</v>
      </c>
      <c r="K15" s="249"/>
      <c r="L15" s="249"/>
      <c r="M15" s="249"/>
      <c r="N15" s="251" t="n">
        <v>-0.210000000000001</v>
      </c>
      <c r="O15" s="252" t="n">
        <v>0.09</v>
      </c>
      <c r="P15" s="253"/>
      <c r="Q15" s="220"/>
      <c r="R15" s="251" t="n">
        <v>3.8</v>
      </c>
      <c r="S15" s="252" t="n">
        <v>0.8</v>
      </c>
      <c r="T15" s="254" t="n">
        <v>5.13</v>
      </c>
      <c r="U15" s="251" t="n">
        <v>5</v>
      </c>
      <c r="V15" s="252" t="n">
        <v>4</v>
      </c>
      <c r="W15" s="255" t="n">
        <v>7.73</v>
      </c>
      <c r="X15" s="250" t="n">
        <v>1.2</v>
      </c>
      <c r="Y15" s="256" t="n">
        <v>-1</v>
      </c>
    </row>
    <row r="16" customFormat="false" ht="12.5" hidden="false" customHeight="true" outlineLevel="0" collapsed="false">
      <c r="A16" s="210" t="s">
        <v>1103</v>
      </c>
      <c r="B16" s="211" t="s">
        <v>1098</v>
      </c>
      <c r="C16" s="246" t="s">
        <v>1119</v>
      </c>
      <c r="D16" s="247" t="s">
        <v>1062</v>
      </c>
      <c r="E16" s="248"/>
      <c r="F16" s="248" t="n">
        <v>38.18</v>
      </c>
      <c r="G16" s="249" t="n">
        <v>44.92</v>
      </c>
      <c r="H16" s="249"/>
      <c r="I16" s="249" t="n">
        <v>32.7</v>
      </c>
      <c r="J16" s="250" t="n">
        <v>-12.22</v>
      </c>
      <c r="K16" s="249"/>
      <c r="L16" s="249"/>
      <c r="M16" s="249" t="n">
        <v>-0.19</v>
      </c>
      <c r="N16" s="251" t="n">
        <v>-5.29</v>
      </c>
      <c r="O16" s="252" t="n">
        <v>-0.26</v>
      </c>
      <c r="P16" s="253" t="n">
        <v>-5</v>
      </c>
      <c r="Q16" s="220"/>
      <c r="R16" s="251" t="n">
        <v>8.2</v>
      </c>
      <c r="S16" s="252" t="n">
        <v>4</v>
      </c>
      <c r="T16" s="254" t="n">
        <v>5.45</v>
      </c>
      <c r="U16" s="251" t="n">
        <v>0.2</v>
      </c>
      <c r="V16" s="252"/>
      <c r="W16" s="255" t="n">
        <v>5.03</v>
      </c>
      <c r="X16" s="250" t="n">
        <v>-8</v>
      </c>
      <c r="Y16" s="256" t="n">
        <v>-3</v>
      </c>
    </row>
    <row r="17" customFormat="false" ht="12.5" hidden="false" customHeight="true" outlineLevel="0" collapsed="false">
      <c r="A17" s="210" t="s">
        <v>1103</v>
      </c>
      <c r="B17" s="211" t="s">
        <v>1098</v>
      </c>
      <c r="C17" s="246" t="s">
        <v>1120</v>
      </c>
      <c r="D17" s="247" t="s">
        <v>985</v>
      </c>
      <c r="E17" s="248"/>
      <c r="F17" s="248" t="n">
        <v>327.34</v>
      </c>
      <c r="G17" s="249" t="n">
        <v>326.33</v>
      </c>
      <c r="H17" s="249"/>
      <c r="I17" s="249" t="n">
        <v>314.03</v>
      </c>
      <c r="J17" s="250" t="n">
        <v>-12.3</v>
      </c>
      <c r="K17" s="249"/>
      <c r="L17" s="249"/>
      <c r="M17" s="249" t="n">
        <v>-0.36</v>
      </c>
      <c r="N17" s="251" t="n">
        <v>-12.95</v>
      </c>
      <c r="O17" s="252" t="n">
        <v>-8.57</v>
      </c>
      <c r="P17" s="253" t="n">
        <v>-4</v>
      </c>
      <c r="Q17" s="220"/>
      <c r="R17" s="251" t="n">
        <v>90.2</v>
      </c>
      <c r="S17" s="252" t="n">
        <v>35</v>
      </c>
      <c r="T17" s="254" t="n">
        <v>7.4</v>
      </c>
      <c r="U17" s="251" t="n">
        <v>83.8</v>
      </c>
      <c r="V17" s="252" t="n">
        <v>70.8</v>
      </c>
      <c r="W17" s="255" t="n">
        <v>7.6</v>
      </c>
      <c r="X17" s="250" t="n">
        <v>-6.40000000000001</v>
      </c>
      <c r="Y17" s="256" t="n">
        <v>-14</v>
      </c>
    </row>
    <row r="18" customFormat="false" ht="12.5" hidden="false" customHeight="true" outlineLevel="0" collapsed="false">
      <c r="A18" s="210" t="s">
        <v>1070</v>
      </c>
      <c r="B18" s="211" t="s">
        <v>1121</v>
      </c>
      <c r="C18" s="211"/>
      <c r="D18" s="212" t="s">
        <v>1122</v>
      </c>
      <c r="E18" s="213" t="n">
        <v>-1.16000000000001</v>
      </c>
      <c r="F18" s="213" t="n">
        <v>1913776.25</v>
      </c>
      <c r="G18" s="214" t="n">
        <v>1974383.54</v>
      </c>
      <c r="H18" s="214" t="n">
        <v>-1.06581410364015E-014</v>
      </c>
      <c r="I18" s="215" t="n">
        <v>1954922.36</v>
      </c>
      <c r="J18" s="216" t="n">
        <v>-19461.18</v>
      </c>
      <c r="K18" s="214" t="n">
        <v>20682</v>
      </c>
      <c r="L18" s="214" t="n">
        <v>-125</v>
      </c>
      <c r="M18" s="214" t="n">
        <v>8569.92</v>
      </c>
      <c r="N18" s="217" t="n">
        <v>12018.03</v>
      </c>
      <c r="O18" s="218" t="n">
        <v>11107.7</v>
      </c>
      <c r="P18" s="219" t="n">
        <v>914</v>
      </c>
      <c r="Q18" s="220"/>
      <c r="R18" s="217" t="n">
        <v>171922.16</v>
      </c>
      <c r="S18" s="218" t="n">
        <v>40130.14</v>
      </c>
      <c r="T18" s="221"/>
      <c r="U18" s="217" t="n">
        <v>178641.46</v>
      </c>
      <c r="V18" s="218" t="n">
        <v>82330.73</v>
      </c>
      <c r="W18" s="222"/>
      <c r="X18" s="216" t="n">
        <v>6719.3</v>
      </c>
      <c r="Y18" s="223" t="n">
        <v>6681.87</v>
      </c>
    </row>
    <row r="19" customFormat="false" ht="12.5" hidden="false" customHeight="true" outlineLevel="0" collapsed="false">
      <c r="A19" s="210" t="s">
        <v>18</v>
      </c>
      <c r="B19" s="211" t="s">
        <v>1121</v>
      </c>
      <c r="C19" s="224" t="s">
        <v>1123</v>
      </c>
      <c r="D19" s="225" t="s">
        <v>1124</v>
      </c>
      <c r="E19" s="226"/>
      <c r="F19" s="226" t="n">
        <v>12113.83</v>
      </c>
      <c r="G19" s="227" t="n">
        <v>12289.37</v>
      </c>
      <c r="H19" s="227" t="n">
        <v>1.42</v>
      </c>
      <c r="I19" s="227" t="n">
        <v>12211.84</v>
      </c>
      <c r="J19" s="228" t="n">
        <v>-78.9499999999998</v>
      </c>
      <c r="K19" s="227"/>
      <c r="L19" s="227"/>
      <c r="M19" s="227" t="n">
        <v>8.31</v>
      </c>
      <c r="N19" s="229" t="n">
        <v>88.2800000000005</v>
      </c>
      <c r="O19" s="230" t="n">
        <v>59.41</v>
      </c>
      <c r="P19" s="231" t="n">
        <v>30</v>
      </c>
      <c r="Q19" s="220"/>
      <c r="R19" s="229" t="n">
        <v>3471.8</v>
      </c>
      <c r="S19" s="230" t="n">
        <v>170</v>
      </c>
      <c r="T19" s="232"/>
      <c r="U19" s="229" t="n">
        <v>3621.8</v>
      </c>
      <c r="V19" s="230"/>
      <c r="W19" s="233"/>
      <c r="X19" s="228" t="n">
        <v>150</v>
      </c>
      <c r="Y19" s="234" t="n">
        <v>145.87</v>
      </c>
    </row>
    <row r="20" customFormat="false" ht="12.5" hidden="false" customHeight="true" outlineLevel="0" collapsed="false">
      <c r="A20" s="210" t="s">
        <v>20</v>
      </c>
      <c r="B20" s="211" t="s">
        <v>1121</v>
      </c>
      <c r="C20" s="235" t="n">
        <v>105</v>
      </c>
      <c r="D20" s="236" t="s">
        <v>1125</v>
      </c>
      <c r="E20" s="237"/>
      <c r="F20" s="237" t="n">
        <v>8185.54</v>
      </c>
      <c r="G20" s="238" t="n">
        <v>8214</v>
      </c>
      <c r="H20" s="238" t="n">
        <v>-0.58</v>
      </c>
      <c r="I20" s="238" t="n">
        <v>8252.28</v>
      </c>
      <c r="J20" s="239" t="n">
        <v>38.8600000000001</v>
      </c>
      <c r="K20" s="238"/>
      <c r="L20" s="238"/>
      <c r="M20" s="238" t="n">
        <v>8.35</v>
      </c>
      <c r="N20" s="240" t="n">
        <v>58.9700000000005</v>
      </c>
      <c r="O20" s="241" t="n">
        <v>17.12</v>
      </c>
      <c r="P20" s="242" t="n">
        <v>42</v>
      </c>
      <c r="Q20" s="220"/>
      <c r="R20" s="240" t="n">
        <v>2182.33</v>
      </c>
      <c r="S20" s="241" t="n">
        <v>117</v>
      </c>
      <c r="T20" s="243"/>
      <c r="U20" s="240" t="n">
        <v>2295.33</v>
      </c>
      <c r="V20" s="241"/>
      <c r="W20" s="244"/>
      <c r="X20" s="239" t="n">
        <v>113</v>
      </c>
      <c r="Y20" s="245" t="n">
        <v>109.87</v>
      </c>
    </row>
    <row r="21" customFormat="false" ht="12.5" hidden="false" customHeight="true" outlineLevel="0" collapsed="false">
      <c r="A21" s="210" t="s">
        <v>1103</v>
      </c>
      <c r="B21" s="211" t="s">
        <v>1121</v>
      </c>
      <c r="C21" s="246" t="s">
        <v>1126</v>
      </c>
      <c r="D21" s="247" t="s">
        <v>1127</v>
      </c>
      <c r="E21" s="248"/>
      <c r="F21" s="248" t="n">
        <v>2079.95</v>
      </c>
      <c r="G21" s="249" t="n">
        <v>2306</v>
      </c>
      <c r="H21" s="249" t="n">
        <v>-0.58</v>
      </c>
      <c r="I21" s="249" t="n">
        <v>2099.77</v>
      </c>
      <c r="J21" s="250" t="n">
        <v>-205.65</v>
      </c>
      <c r="K21" s="249"/>
      <c r="L21" s="249"/>
      <c r="M21" s="249" t="n">
        <v>8</v>
      </c>
      <c r="N21" s="251" t="n">
        <v>12.4000000000001</v>
      </c>
      <c r="O21" s="252" t="n">
        <v>60.37</v>
      </c>
      <c r="P21" s="253" t="n">
        <v>-48</v>
      </c>
      <c r="Q21" s="220"/>
      <c r="R21" s="251" t="n">
        <v>578.9</v>
      </c>
      <c r="S21" s="252" t="n">
        <v>117</v>
      </c>
      <c r="T21" s="254" t="n">
        <v>7.42</v>
      </c>
      <c r="U21" s="251" t="n">
        <v>574.6</v>
      </c>
      <c r="V21" s="252"/>
      <c r="W21" s="255" t="n">
        <v>8.38</v>
      </c>
      <c r="X21" s="250" t="n">
        <v>-4.29999999999995</v>
      </c>
      <c r="Y21" s="256" t="n">
        <v>35.87</v>
      </c>
    </row>
    <row r="22" customFormat="false" ht="12.5" hidden="false" customHeight="true" outlineLevel="0" collapsed="false">
      <c r="A22" s="210" t="s">
        <v>1103</v>
      </c>
      <c r="B22" s="211" t="s">
        <v>1121</v>
      </c>
      <c r="C22" s="246" t="s">
        <v>1128</v>
      </c>
      <c r="D22" s="247" t="s">
        <v>1129</v>
      </c>
      <c r="E22" s="248"/>
      <c r="F22" s="248" t="n">
        <v>1549.81</v>
      </c>
      <c r="G22" s="249" t="n">
        <v>1576.8</v>
      </c>
      <c r="H22" s="249"/>
      <c r="I22" s="249" t="n">
        <v>1539.13</v>
      </c>
      <c r="J22" s="250" t="n">
        <v>-37.6699999999998</v>
      </c>
      <c r="K22" s="249"/>
      <c r="L22" s="249"/>
      <c r="M22" s="249" t="n">
        <v>0.35</v>
      </c>
      <c r="N22" s="251" t="n">
        <v>-11.0299999999998</v>
      </c>
      <c r="O22" s="252" t="n">
        <v>-44.81</v>
      </c>
      <c r="P22" s="253" t="n">
        <v>34</v>
      </c>
      <c r="Q22" s="220"/>
      <c r="R22" s="251" t="n">
        <v>556.7</v>
      </c>
      <c r="S22" s="252"/>
      <c r="T22" s="254" t="n">
        <v>8.55</v>
      </c>
      <c r="U22" s="251" t="n">
        <v>570.83</v>
      </c>
      <c r="V22" s="252"/>
      <c r="W22" s="255" t="n">
        <v>7.95</v>
      </c>
      <c r="X22" s="250" t="n">
        <v>14.13</v>
      </c>
      <c r="Y22" s="256" t="n">
        <v>54</v>
      </c>
    </row>
    <row r="23" customFormat="false" ht="12.5" hidden="false" customHeight="true" outlineLevel="0" collapsed="false">
      <c r="A23" s="210" t="s">
        <v>1103</v>
      </c>
      <c r="B23" s="211" t="s">
        <v>1121</v>
      </c>
      <c r="C23" s="246" t="s">
        <v>1130</v>
      </c>
      <c r="D23" s="247" t="s">
        <v>1131</v>
      </c>
      <c r="E23" s="248"/>
      <c r="F23" s="248" t="n">
        <v>947.76</v>
      </c>
      <c r="G23" s="249" t="n">
        <v>594.2</v>
      </c>
      <c r="H23" s="249"/>
      <c r="I23" s="249" t="n">
        <v>1043.05</v>
      </c>
      <c r="J23" s="250" t="n">
        <v>448.85</v>
      </c>
      <c r="K23" s="249"/>
      <c r="L23" s="249"/>
      <c r="M23" s="249"/>
      <c r="N23" s="251" t="n">
        <v>95.29</v>
      </c>
      <c r="O23" s="252" t="n">
        <v>54.6</v>
      </c>
      <c r="P23" s="253" t="n">
        <v>41</v>
      </c>
      <c r="Q23" s="220"/>
      <c r="R23" s="251" t="n">
        <v>724.4</v>
      </c>
      <c r="S23" s="252"/>
      <c r="T23" s="254" t="n">
        <v>7.47</v>
      </c>
      <c r="U23" s="251" t="n">
        <v>827.67</v>
      </c>
      <c r="V23" s="252"/>
      <c r="W23" s="255" t="n">
        <v>7.57</v>
      </c>
      <c r="X23" s="250" t="n">
        <v>103.27</v>
      </c>
      <c r="Y23" s="256" t="n">
        <v>20</v>
      </c>
    </row>
    <row r="24" customFormat="false" ht="12.5" hidden="false" customHeight="true" outlineLevel="0" collapsed="false">
      <c r="A24" s="210" t="s">
        <v>1103</v>
      </c>
      <c r="B24" s="211" t="s">
        <v>1121</v>
      </c>
      <c r="C24" s="246" t="s">
        <v>1132</v>
      </c>
      <c r="D24" s="247" t="s">
        <v>986</v>
      </c>
      <c r="E24" s="248"/>
      <c r="F24" s="248" t="n">
        <v>641.88</v>
      </c>
      <c r="G24" s="249" t="n">
        <v>640</v>
      </c>
      <c r="H24" s="249"/>
      <c r="I24" s="249" t="n">
        <v>621.49</v>
      </c>
      <c r="J24" s="250" t="n">
        <v>-18.51</v>
      </c>
      <c r="K24" s="249"/>
      <c r="L24" s="249"/>
      <c r="M24" s="249"/>
      <c r="N24" s="251" t="n">
        <v>-20.39</v>
      </c>
      <c r="O24" s="252" t="n">
        <v>-18.55</v>
      </c>
      <c r="P24" s="253" t="n">
        <v>-2</v>
      </c>
      <c r="Q24" s="220"/>
      <c r="R24" s="251" t="n">
        <v>175.44</v>
      </c>
      <c r="S24" s="252"/>
      <c r="T24" s="254" t="n">
        <v>8.23</v>
      </c>
      <c r="U24" s="251" t="n">
        <v>147.34</v>
      </c>
      <c r="V24" s="252"/>
      <c r="W24" s="255" t="n">
        <v>7.47</v>
      </c>
      <c r="X24" s="250" t="n">
        <v>-28.1</v>
      </c>
      <c r="Y24" s="256"/>
    </row>
    <row r="25" customFormat="false" ht="12.5" hidden="false" customHeight="true" outlineLevel="0" collapsed="false">
      <c r="A25" s="210" t="s">
        <v>1103</v>
      </c>
      <c r="B25" s="211" t="s">
        <v>1121</v>
      </c>
      <c r="C25" s="246" t="s">
        <v>1133</v>
      </c>
      <c r="D25" s="247" t="s">
        <v>1134</v>
      </c>
      <c r="E25" s="248"/>
      <c r="F25" s="248" t="n">
        <v>2966.14</v>
      </c>
      <c r="G25" s="249" t="n">
        <v>3097</v>
      </c>
      <c r="H25" s="249"/>
      <c r="I25" s="249" t="n">
        <v>2948.84</v>
      </c>
      <c r="J25" s="250" t="n">
        <v>-148.16</v>
      </c>
      <c r="K25" s="249"/>
      <c r="L25" s="249"/>
      <c r="M25" s="249"/>
      <c r="N25" s="251" t="n">
        <v>-17.2999999999997</v>
      </c>
      <c r="O25" s="252" t="n">
        <v>-34.49</v>
      </c>
      <c r="P25" s="253" t="n">
        <v>17</v>
      </c>
      <c r="Q25" s="220"/>
      <c r="R25" s="251" t="n">
        <v>146.89</v>
      </c>
      <c r="S25" s="252"/>
      <c r="T25" s="254" t="n">
        <v>7.63</v>
      </c>
      <c r="U25" s="251" t="n">
        <v>174.89</v>
      </c>
      <c r="V25" s="252"/>
      <c r="W25" s="255" t="n">
        <v>7.31</v>
      </c>
      <c r="X25" s="250" t="n">
        <v>28</v>
      </c>
      <c r="Y25" s="256"/>
    </row>
    <row r="26" customFormat="false" ht="12.5" hidden="false" customHeight="true" outlineLevel="0" collapsed="false">
      <c r="A26" s="210" t="s">
        <v>20</v>
      </c>
      <c r="B26" s="211" t="s">
        <v>1121</v>
      </c>
      <c r="C26" s="235" t="n">
        <v>185</v>
      </c>
      <c r="D26" s="236" t="s">
        <v>1135</v>
      </c>
      <c r="E26" s="237"/>
      <c r="F26" s="237" t="n">
        <v>763.88</v>
      </c>
      <c r="G26" s="238" t="n">
        <v>800.37</v>
      </c>
      <c r="H26" s="238"/>
      <c r="I26" s="238" t="n">
        <v>789.22</v>
      </c>
      <c r="J26" s="239" t="n">
        <v>-11.15</v>
      </c>
      <c r="K26" s="238"/>
      <c r="L26" s="238"/>
      <c r="M26" s="238"/>
      <c r="N26" s="240" t="n">
        <v>25.34</v>
      </c>
      <c r="O26" s="241" t="n">
        <v>10.56</v>
      </c>
      <c r="P26" s="242" t="n">
        <v>15</v>
      </c>
      <c r="Q26" s="220"/>
      <c r="R26" s="240" t="n">
        <v>263.41</v>
      </c>
      <c r="S26" s="241" t="n">
        <v>4</v>
      </c>
      <c r="T26" s="243"/>
      <c r="U26" s="240" t="n">
        <v>280.41</v>
      </c>
      <c r="V26" s="241"/>
      <c r="W26" s="244"/>
      <c r="X26" s="239" t="n">
        <v>17</v>
      </c>
      <c r="Y26" s="245" t="n">
        <v>16</v>
      </c>
    </row>
    <row r="27" customFormat="false" ht="12.5" hidden="false" customHeight="true" outlineLevel="0" collapsed="false">
      <c r="A27" s="210" t="s">
        <v>1103</v>
      </c>
      <c r="B27" s="211" t="s">
        <v>1121</v>
      </c>
      <c r="C27" s="246" t="s">
        <v>1136</v>
      </c>
      <c r="D27" s="247" t="s">
        <v>1127</v>
      </c>
      <c r="E27" s="248"/>
      <c r="F27" s="248" t="n">
        <v>58.06</v>
      </c>
      <c r="G27" s="249" t="n">
        <v>79</v>
      </c>
      <c r="H27" s="249"/>
      <c r="I27" s="249" t="n">
        <v>57.52</v>
      </c>
      <c r="J27" s="250" t="n">
        <v>-21.48</v>
      </c>
      <c r="K27" s="249"/>
      <c r="L27" s="249"/>
      <c r="M27" s="249"/>
      <c r="N27" s="251" t="n">
        <v>-0.539999999999999</v>
      </c>
      <c r="O27" s="252" t="n">
        <v>-2.41</v>
      </c>
      <c r="P27" s="253" t="n">
        <v>2</v>
      </c>
      <c r="Q27" s="220"/>
      <c r="R27" s="251" t="n">
        <v>19.17</v>
      </c>
      <c r="S27" s="252" t="n">
        <v>4</v>
      </c>
      <c r="T27" s="254" t="n">
        <v>7.73</v>
      </c>
      <c r="U27" s="251" t="n">
        <v>23.17</v>
      </c>
      <c r="V27" s="252"/>
      <c r="W27" s="255" t="n">
        <v>7.67</v>
      </c>
      <c r="X27" s="250" t="n">
        <v>4</v>
      </c>
      <c r="Y27" s="256"/>
    </row>
    <row r="28" customFormat="false" ht="12.5" hidden="false" customHeight="true" outlineLevel="0" collapsed="false">
      <c r="A28" s="210" t="s">
        <v>1103</v>
      </c>
      <c r="B28" s="211" t="s">
        <v>1121</v>
      </c>
      <c r="C28" s="246" t="s">
        <v>1137</v>
      </c>
      <c r="D28" s="247" t="s">
        <v>1129</v>
      </c>
      <c r="E28" s="248"/>
      <c r="F28" s="248" t="n">
        <v>69.19</v>
      </c>
      <c r="G28" s="249" t="n">
        <v>71.92</v>
      </c>
      <c r="H28" s="249"/>
      <c r="I28" s="249" t="n">
        <v>72.22</v>
      </c>
      <c r="J28" s="250" t="n">
        <v>0.299999999999997</v>
      </c>
      <c r="K28" s="249"/>
      <c r="L28" s="249"/>
      <c r="M28" s="249"/>
      <c r="N28" s="251" t="n">
        <v>3.03</v>
      </c>
      <c r="O28" s="252" t="n">
        <v>-0.19</v>
      </c>
      <c r="P28" s="253" t="n">
        <v>3</v>
      </c>
      <c r="Q28" s="220"/>
      <c r="R28" s="251" t="n">
        <v>23.63</v>
      </c>
      <c r="S28" s="252"/>
      <c r="T28" s="254" t="n">
        <v>8.1</v>
      </c>
      <c r="U28" s="251" t="n">
        <v>31.65</v>
      </c>
      <c r="V28" s="252"/>
      <c r="W28" s="255" t="n">
        <v>8.12</v>
      </c>
      <c r="X28" s="250" t="n">
        <v>8.02</v>
      </c>
      <c r="Y28" s="256" t="n">
        <v>2</v>
      </c>
    </row>
    <row r="29" customFormat="false" ht="12.5" hidden="false" customHeight="true" outlineLevel="0" collapsed="false">
      <c r="A29" s="210" t="s">
        <v>1103</v>
      </c>
      <c r="B29" s="211" t="s">
        <v>1121</v>
      </c>
      <c r="C29" s="246" t="s">
        <v>1138</v>
      </c>
      <c r="D29" s="247" t="s">
        <v>1131</v>
      </c>
      <c r="E29" s="248"/>
      <c r="F29" s="248" t="n">
        <v>547.74</v>
      </c>
      <c r="G29" s="249" t="n">
        <v>552.45</v>
      </c>
      <c r="H29" s="249"/>
      <c r="I29" s="249" t="n">
        <v>566.61</v>
      </c>
      <c r="J29" s="250" t="n">
        <v>14.16</v>
      </c>
      <c r="K29" s="249"/>
      <c r="L29" s="249"/>
      <c r="M29" s="249"/>
      <c r="N29" s="251" t="n">
        <v>18.87</v>
      </c>
      <c r="O29" s="252" t="n">
        <v>14.36</v>
      </c>
      <c r="P29" s="253" t="n">
        <v>5</v>
      </c>
      <c r="Q29" s="220"/>
      <c r="R29" s="251" t="n">
        <v>203.61</v>
      </c>
      <c r="S29" s="252"/>
      <c r="T29" s="254" t="n">
        <v>7.16</v>
      </c>
      <c r="U29" s="251" t="n">
        <v>211.42</v>
      </c>
      <c r="V29" s="252"/>
      <c r="W29" s="255" t="n">
        <v>7.12</v>
      </c>
      <c r="X29" s="250" t="n">
        <v>7.80999999999997</v>
      </c>
      <c r="Y29" s="256" t="n">
        <v>14</v>
      </c>
    </row>
    <row r="30" customFormat="false" ht="12.5" hidden="false" customHeight="true" outlineLevel="0" collapsed="false">
      <c r="A30" s="210" t="s">
        <v>1103</v>
      </c>
      <c r="B30" s="211" t="s">
        <v>1121</v>
      </c>
      <c r="C30" s="246" t="s">
        <v>1139</v>
      </c>
      <c r="D30" s="247" t="s">
        <v>1134</v>
      </c>
      <c r="E30" s="248"/>
      <c r="F30" s="248" t="n">
        <v>88.89</v>
      </c>
      <c r="G30" s="249" t="n">
        <v>97</v>
      </c>
      <c r="H30" s="249"/>
      <c r="I30" s="249" t="n">
        <v>92.87</v>
      </c>
      <c r="J30" s="250" t="n">
        <v>-4.13</v>
      </c>
      <c r="K30" s="249"/>
      <c r="L30" s="249"/>
      <c r="M30" s="249"/>
      <c r="N30" s="251" t="n">
        <v>3.98</v>
      </c>
      <c r="O30" s="252" t="n">
        <v>-1.2</v>
      </c>
      <c r="P30" s="253" t="n">
        <v>5</v>
      </c>
      <c r="Q30" s="220"/>
      <c r="R30" s="251" t="n">
        <v>17</v>
      </c>
      <c r="S30" s="252"/>
      <c r="T30" s="254" t="n">
        <v>9.99</v>
      </c>
      <c r="U30" s="251" t="n">
        <v>14.17</v>
      </c>
      <c r="V30" s="252"/>
      <c r="W30" s="255" t="n">
        <v>5</v>
      </c>
      <c r="X30" s="250" t="n">
        <v>-2.83</v>
      </c>
      <c r="Y30" s="256"/>
    </row>
    <row r="31" customFormat="false" ht="12.5" hidden="false" customHeight="true" outlineLevel="0" collapsed="false">
      <c r="A31" s="210" t="s">
        <v>20</v>
      </c>
      <c r="B31" s="211" t="s">
        <v>1121</v>
      </c>
      <c r="C31" s="235" t="n">
        <v>151</v>
      </c>
      <c r="D31" s="236" t="s">
        <v>1140</v>
      </c>
      <c r="E31" s="237"/>
      <c r="F31" s="237" t="n">
        <v>3164.41</v>
      </c>
      <c r="G31" s="238" t="n">
        <v>3275</v>
      </c>
      <c r="H31" s="238" t="n">
        <v>2</v>
      </c>
      <c r="I31" s="238" t="n">
        <v>3170.34</v>
      </c>
      <c r="J31" s="239" t="n">
        <v>-106.66</v>
      </c>
      <c r="K31" s="238"/>
      <c r="L31" s="238"/>
      <c r="M31" s="238" t="n">
        <v>-0.04</v>
      </c>
      <c r="N31" s="240" t="n">
        <v>3.96999999999998</v>
      </c>
      <c r="O31" s="241" t="n">
        <v>31.73</v>
      </c>
      <c r="P31" s="242" t="n">
        <v>-27</v>
      </c>
      <c r="Q31" s="220"/>
      <c r="R31" s="240" t="n">
        <v>1026.06</v>
      </c>
      <c r="S31" s="241" t="n">
        <v>49</v>
      </c>
      <c r="T31" s="243"/>
      <c r="U31" s="240" t="n">
        <v>1046.06</v>
      </c>
      <c r="V31" s="241"/>
      <c r="W31" s="244"/>
      <c r="X31" s="239" t="n">
        <v>20</v>
      </c>
      <c r="Y31" s="245" t="n">
        <v>20</v>
      </c>
    </row>
    <row r="32" customFormat="false" ht="12.5" hidden="false" customHeight="true" outlineLevel="0" collapsed="false">
      <c r="A32" s="210" t="s">
        <v>1103</v>
      </c>
      <c r="B32" s="211" t="s">
        <v>1121</v>
      </c>
      <c r="C32" s="246" t="s">
        <v>1141</v>
      </c>
      <c r="D32" s="247" t="s">
        <v>1127</v>
      </c>
      <c r="E32" s="248"/>
      <c r="F32" s="248" t="n">
        <v>468.06</v>
      </c>
      <c r="G32" s="249" t="n">
        <v>527.54</v>
      </c>
      <c r="H32" s="249" t="n">
        <v>2</v>
      </c>
      <c r="I32" s="249" t="n">
        <v>466.18</v>
      </c>
      <c r="J32" s="250" t="n">
        <v>-63.36</v>
      </c>
      <c r="K32" s="249"/>
      <c r="L32" s="249"/>
      <c r="M32" s="249" t="n">
        <v>-0.04</v>
      </c>
      <c r="N32" s="251" t="n">
        <v>-3.84</v>
      </c>
      <c r="O32" s="252" t="n">
        <v>-15.9</v>
      </c>
      <c r="P32" s="253" t="n">
        <v>12</v>
      </c>
      <c r="Q32" s="220"/>
      <c r="R32" s="251" t="n">
        <v>128.97</v>
      </c>
      <c r="S32" s="252" t="n">
        <v>49</v>
      </c>
      <c r="T32" s="254" t="n">
        <v>8.52</v>
      </c>
      <c r="U32" s="251" t="n">
        <v>124.58</v>
      </c>
      <c r="V32" s="252"/>
      <c r="W32" s="255" t="n">
        <v>7.2</v>
      </c>
      <c r="X32" s="250" t="n">
        <v>-4.39</v>
      </c>
      <c r="Y32" s="256" t="n">
        <v>8</v>
      </c>
    </row>
    <row r="33" customFormat="false" ht="12.5" hidden="false" customHeight="true" outlineLevel="0" collapsed="false">
      <c r="A33" s="210" t="s">
        <v>1103</v>
      </c>
      <c r="B33" s="211" t="s">
        <v>1121</v>
      </c>
      <c r="C33" s="246" t="s">
        <v>1142</v>
      </c>
      <c r="D33" s="247" t="s">
        <v>1129</v>
      </c>
      <c r="E33" s="248"/>
      <c r="F33" s="248" t="n">
        <v>1028.68</v>
      </c>
      <c r="G33" s="249" t="n">
        <v>1049</v>
      </c>
      <c r="H33" s="249"/>
      <c r="I33" s="249" t="n">
        <v>1046.98</v>
      </c>
      <c r="J33" s="250" t="n">
        <v>-2.01999999999998</v>
      </c>
      <c r="K33" s="249"/>
      <c r="L33" s="249"/>
      <c r="M33" s="249"/>
      <c r="N33" s="251" t="n">
        <v>18.3</v>
      </c>
      <c r="O33" s="252" t="n">
        <v>32.3</v>
      </c>
      <c r="P33" s="253" t="n">
        <v>-14</v>
      </c>
      <c r="Q33" s="220"/>
      <c r="R33" s="251" t="n">
        <v>226.2</v>
      </c>
      <c r="S33" s="252"/>
      <c r="T33" s="254" t="n">
        <v>7.37</v>
      </c>
      <c r="U33" s="251" t="n">
        <v>251.26</v>
      </c>
      <c r="V33" s="252"/>
      <c r="W33" s="255" t="n">
        <v>8.6</v>
      </c>
      <c r="X33" s="250" t="n">
        <v>25.06</v>
      </c>
      <c r="Y33" s="256" t="n">
        <v>11</v>
      </c>
    </row>
    <row r="34" customFormat="false" ht="12.5" hidden="false" customHeight="true" outlineLevel="0" collapsed="false">
      <c r="A34" s="210" t="s">
        <v>1103</v>
      </c>
      <c r="B34" s="211" t="s">
        <v>1121</v>
      </c>
      <c r="C34" s="246" t="s">
        <v>1143</v>
      </c>
      <c r="D34" s="247" t="s">
        <v>1131</v>
      </c>
      <c r="E34" s="248"/>
      <c r="F34" s="248" t="n">
        <v>80.46</v>
      </c>
      <c r="G34" s="249" t="n">
        <v>101.46</v>
      </c>
      <c r="H34" s="249"/>
      <c r="I34" s="249" t="n">
        <v>97.49</v>
      </c>
      <c r="J34" s="250" t="n">
        <v>-3.97</v>
      </c>
      <c r="K34" s="249"/>
      <c r="L34" s="249"/>
      <c r="M34" s="249"/>
      <c r="N34" s="251" t="n">
        <v>17.03</v>
      </c>
      <c r="O34" s="252" t="n">
        <v>12.39</v>
      </c>
      <c r="P34" s="253" t="n">
        <v>5</v>
      </c>
      <c r="Q34" s="220"/>
      <c r="R34" s="251" t="n">
        <v>169.5</v>
      </c>
      <c r="S34" s="252"/>
      <c r="T34" s="254" t="n">
        <v>7.7</v>
      </c>
      <c r="U34" s="251" t="n">
        <v>177.34</v>
      </c>
      <c r="V34" s="252"/>
      <c r="W34" s="255" t="n">
        <v>7.62</v>
      </c>
      <c r="X34" s="250" t="n">
        <v>7.84</v>
      </c>
      <c r="Y34" s="256" t="n">
        <v>1</v>
      </c>
    </row>
    <row r="35" customFormat="false" ht="12.5" hidden="false" customHeight="true" outlineLevel="0" collapsed="false">
      <c r="A35" s="210" t="s">
        <v>1103</v>
      </c>
      <c r="B35" s="211" t="s">
        <v>1121</v>
      </c>
      <c r="C35" s="246" t="s">
        <v>1144</v>
      </c>
      <c r="D35" s="247" t="s">
        <v>1134</v>
      </c>
      <c r="E35" s="248"/>
      <c r="F35" s="248" t="n">
        <v>1587.21</v>
      </c>
      <c r="G35" s="249" t="n">
        <v>1597</v>
      </c>
      <c r="H35" s="249"/>
      <c r="I35" s="249" t="n">
        <v>1559.69</v>
      </c>
      <c r="J35" s="250" t="n">
        <v>-37.3099999999999</v>
      </c>
      <c r="K35" s="249"/>
      <c r="L35" s="249"/>
      <c r="M35" s="249"/>
      <c r="N35" s="251" t="n">
        <v>-27.52</v>
      </c>
      <c r="O35" s="252" t="n">
        <v>2.94</v>
      </c>
      <c r="P35" s="253" t="n">
        <v>-30</v>
      </c>
      <c r="Q35" s="220"/>
      <c r="R35" s="251" t="n">
        <v>501.39</v>
      </c>
      <c r="S35" s="252"/>
      <c r="T35" s="254" t="n">
        <v>7.69</v>
      </c>
      <c r="U35" s="251" t="n">
        <v>492.88</v>
      </c>
      <c r="V35" s="252"/>
      <c r="W35" s="255" t="n">
        <v>8.34</v>
      </c>
      <c r="X35" s="250" t="n">
        <v>-8.50999999999999</v>
      </c>
      <c r="Y35" s="256"/>
    </row>
    <row r="36" customFormat="false" ht="12.5" hidden="false" customHeight="true" outlineLevel="0" collapsed="false">
      <c r="A36" s="210" t="s">
        <v>18</v>
      </c>
      <c r="B36" s="211" t="s">
        <v>1121</v>
      </c>
      <c r="C36" s="224" t="s">
        <v>1145</v>
      </c>
      <c r="D36" s="225" t="s">
        <v>1146</v>
      </c>
      <c r="E36" s="226" t="n">
        <v>149</v>
      </c>
      <c r="F36" s="226" t="n">
        <v>40586.52</v>
      </c>
      <c r="G36" s="227" t="n">
        <v>40616.01</v>
      </c>
      <c r="H36" s="227" t="n">
        <v>148.67</v>
      </c>
      <c r="I36" s="227" t="n">
        <v>40405.64</v>
      </c>
      <c r="J36" s="228" t="n">
        <v>-359.040000000002</v>
      </c>
      <c r="K36" s="227"/>
      <c r="L36" s="227" t="n">
        <v>-141</v>
      </c>
      <c r="M36" s="227" t="n">
        <v>39.7999999999999</v>
      </c>
      <c r="N36" s="229" t="n">
        <v>-79.3500000000022</v>
      </c>
      <c r="O36" s="230" t="n">
        <v>232.11</v>
      </c>
      <c r="P36" s="231" t="n">
        <v>-312</v>
      </c>
      <c r="Q36" s="220"/>
      <c r="R36" s="229" t="n">
        <v>13459.6</v>
      </c>
      <c r="S36" s="230" t="n">
        <v>1209.3</v>
      </c>
      <c r="T36" s="232"/>
      <c r="U36" s="229" t="n">
        <v>13736.3</v>
      </c>
      <c r="V36" s="230" t="n">
        <v>1840.2</v>
      </c>
      <c r="W36" s="233"/>
      <c r="X36" s="228" t="n">
        <v>276.700000000001</v>
      </c>
      <c r="Y36" s="234" t="n">
        <v>361</v>
      </c>
    </row>
    <row r="37" customFormat="false" ht="12.5" hidden="false" customHeight="true" outlineLevel="0" collapsed="false">
      <c r="A37" s="210" t="s">
        <v>20</v>
      </c>
      <c r="B37" s="211" t="s">
        <v>1121</v>
      </c>
      <c r="C37" s="235" t="n">
        <v>354</v>
      </c>
      <c r="D37" s="236" t="s">
        <v>1147</v>
      </c>
      <c r="E37" s="237" t="n">
        <v>146</v>
      </c>
      <c r="F37" s="237" t="n">
        <v>29422.65</v>
      </c>
      <c r="G37" s="238" t="n">
        <v>29448.08</v>
      </c>
      <c r="H37" s="238" t="n">
        <v>131.08</v>
      </c>
      <c r="I37" s="238" t="n">
        <v>29201.98</v>
      </c>
      <c r="J37" s="239" t="n">
        <v>-377.180000000002</v>
      </c>
      <c r="K37" s="238"/>
      <c r="L37" s="238"/>
      <c r="M37" s="238" t="n">
        <v>5.6099999999999</v>
      </c>
      <c r="N37" s="240" t="n">
        <v>-211.360000000002</v>
      </c>
      <c r="O37" s="241" t="n">
        <v>125.15</v>
      </c>
      <c r="P37" s="242" t="n">
        <v>-337</v>
      </c>
      <c r="Q37" s="220"/>
      <c r="R37" s="240" t="n">
        <v>10729.7</v>
      </c>
      <c r="S37" s="241" t="n">
        <v>926.4</v>
      </c>
      <c r="T37" s="243"/>
      <c r="U37" s="240" t="n">
        <v>10886.4</v>
      </c>
      <c r="V37" s="241" t="n">
        <v>587.2</v>
      </c>
      <c r="W37" s="244"/>
      <c r="X37" s="239" t="n">
        <v>156.700000000001</v>
      </c>
      <c r="Y37" s="245" t="n">
        <v>232</v>
      </c>
    </row>
    <row r="38" customFormat="false" ht="12.5" hidden="false" customHeight="true" outlineLevel="0" collapsed="false">
      <c r="A38" s="210" t="s">
        <v>1103</v>
      </c>
      <c r="B38" s="211" t="s">
        <v>1121</v>
      </c>
      <c r="C38" s="246" t="s">
        <v>1148</v>
      </c>
      <c r="D38" s="247" t="s">
        <v>1149</v>
      </c>
      <c r="E38" s="248"/>
      <c r="F38" s="248" t="n">
        <v>1316.75</v>
      </c>
      <c r="G38" s="249" t="n">
        <v>1394</v>
      </c>
      <c r="H38" s="249"/>
      <c r="I38" s="249" t="n">
        <v>1329.37</v>
      </c>
      <c r="J38" s="250" t="n">
        <v>-64.6300000000001</v>
      </c>
      <c r="K38" s="249"/>
      <c r="L38" s="249"/>
      <c r="M38" s="249" t="n">
        <v>67.42</v>
      </c>
      <c r="N38" s="251" t="n">
        <v>-54.8000000000001</v>
      </c>
      <c r="O38" s="252" t="n">
        <v>-25.59</v>
      </c>
      <c r="P38" s="253" t="n">
        <v>-29</v>
      </c>
      <c r="Q38" s="220"/>
      <c r="R38" s="251" t="n">
        <v>336</v>
      </c>
      <c r="S38" s="252" t="n">
        <v>28</v>
      </c>
      <c r="T38" s="254" t="n">
        <v>6.23</v>
      </c>
      <c r="U38" s="251" t="n">
        <v>359</v>
      </c>
      <c r="V38" s="252" t="n">
        <v>22</v>
      </c>
      <c r="W38" s="255" t="n">
        <v>7.64</v>
      </c>
      <c r="X38" s="250" t="n">
        <v>23</v>
      </c>
      <c r="Y38" s="256" t="n">
        <v>86</v>
      </c>
    </row>
    <row r="39" customFormat="false" ht="12.5" hidden="false" customHeight="true" outlineLevel="0" collapsed="false">
      <c r="A39" s="210" t="s">
        <v>1103</v>
      </c>
      <c r="B39" s="211" t="s">
        <v>1121</v>
      </c>
      <c r="C39" s="246" t="s">
        <v>1150</v>
      </c>
      <c r="D39" s="247" t="s">
        <v>1151</v>
      </c>
      <c r="E39" s="248" t="n">
        <v>119</v>
      </c>
      <c r="F39" s="248" t="n">
        <v>5592</v>
      </c>
      <c r="G39" s="249" t="n">
        <v>5440.43</v>
      </c>
      <c r="H39" s="249" t="n">
        <v>126.04</v>
      </c>
      <c r="I39" s="249" t="n">
        <v>5730.13</v>
      </c>
      <c r="J39" s="250" t="n">
        <v>163.66</v>
      </c>
      <c r="K39" s="249"/>
      <c r="L39" s="249"/>
      <c r="M39" s="249" t="n">
        <v>-310.79</v>
      </c>
      <c r="N39" s="251" t="n">
        <v>441.88</v>
      </c>
      <c r="O39" s="252" t="n">
        <v>326.75</v>
      </c>
      <c r="P39" s="253" t="n">
        <v>115</v>
      </c>
      <c r="Q39" s="220"/>
      <c r="R39" s="251" t="n">
        <v>1164</v>
      </c>
      <c r="S39" s="252" t="n">
        <v>163.3</v>
      </c>
      <c r="T39" s="254" t="n">
        <v>6.1</v>
      </c>
      <c r="U39" s="251" t="n">
        <v>1515.8</v>
      </c>
      <c r="V39" s="252" t="n">
        <v>111</v>
      </c>
      <c r="W39" s="255" t="n">
        <v>6.79</v>
      </c>
      <c r="X39" s="250" t="n">
        <v>351.8</v>
      </c>
      <c r="Y39" s="256" t="n">
        <v>176</v>
      </c>
    </row>
    <row r="40" customFormat="false" ht="12.5" hidden="false" customHeight="true" outlineLevel="0" collapsed="false">
      <c r="A40" s="210" t="s">
        <v>1103</v>
      </c>
      <c r="B40" s="211" t="s">
        <v>1121</v>
      </c>
      <c r="C40" s="246" t="s">
        <v>1152</v>
      </c>
      <c r="D40" s="247" t="s">
        <v>1153</v>
      </c>
      <c r="E40" s="248" t="n">
        <v>22</v>
      </c>
      <c r="F40" s="248" t="n">
        <v>7945.9</v>
      </c>
      <c r="G40" s="249" t="n">
        <v>7728.12</v>
      </c>
      <c r="H40" s="249" t="n">
        <v>11.34</v>
      </c>
      <c r="I40" s="249" t="n">
        <v>8110.33</v>
      </c>
      <c r="J40" s="250" t="n">
        <v>370.87</v>
      </c>
      <c r="K40" s="249"/>
      <c r="L40" s="249"/>
      <c r="M40" s="249" t="n">
        <v>-131.49</v>
      </c>
      <c r="N40" s="251" t="n">
        <v>306.58</v>
      </c>
      <c r="O40" s="252" t="n">
        <v>316.56</v>
      </c>
      <c r="P40" s="253" t="n">
        <v>-10</v>
      </c>
      <c r="Q40" s="220"/>
      <c r="R40" s="251" t="n">
        <v>2267.6</v>
      </c>
      <c r="S40" s="252" t="n">
        <v>234.1</v>
      </c>
      <c r="T40" s="254" t="n">
        <v>6.25</v>
      </c>
      <c r="U40" s="251" t="n">
        <v>2501.9</v>
      </c>
      <c r="V40" s="252" t="n">
        <v>184.2</v>
      </c>
      <c r="W40" s="255" t="n">
        <v>6.93</v>
      </c>
      <c r="X40" s="250" t="n">
        <v>234.3</v>
      </c>
      <c r="Y40" s="256" t="n">
        <v>70</v>
      </c>
    </row>
    <row r="41" customFormat="false" ht="12.5" hidden="false" customHeight="true" outlineLevel="0" collapsed="false">
      <c r="A41" s="210" t="s">
        <v>1103</v>
      </c>
      <c r="B41" s="211" t="s">
        <v>1121</v>
      </c>
      <c r="C41" s="246" t="s">
        <v>1154</v>
      </c>
      <c r="D41" s="247" t="s">
        <v>1155</v>
      </c>
      <c r="E41" s="248" t="n">
        <v>4</v>
      </c>
      <c r="F41" s="248" t="n">
        <v>10703.2</v>
      </c>
      <c r="G41" s="249" t="n">
        <v>10291.53</v>
      </c>
      <c r="H41" s="249" t="n">
        <v>-6.3</v>
      </c>
      <c r="I41" s="249" t="n">
        <v>10470.64</v>
      </c>
      <c r="J41" s="250" t="n">
        <v>185.409999999998</v>
      </c>
      <c r="K41" s="249"/>
      <c r="L41" s="249"/>
      <c r="M41" s="249" t="n">
        <v>1009.18</v>
      </c>
      <c r="N41" s="251" t="n">
        <v>-1231.44</v>
      </c>
      <c r="O41" s="252" t="n">
        <v>-896.57</v>
      </c>
      <c r="P41" s="253" t="n">
        <v>-335</v>
      </c>
      <c r="Q41" s="220"/>
      <c r="R41" s="251" t="n">
        <v>6162.4</v>
      </c>
      <c r="S41" s="252" t="n">
        <v>322.7</v>
      </c>
      <c r="T41" s="254" t="n">
        <v>6.46</v>
      </c>
      <c r="U41" s="251" t="n">
        <v>5687.1</v>
      </c>
      <c r="V41" s="252" t="n">
        <v>192</v>
      </c>
      <c r="W41" s="255" t="n">
        <v>6.62</v>
      </c>
      <c r="X41" s="250" t="n">
        <v>-475.299999999999</v>
      </c>
      <c r="Y41" s="256" t="n">
        <v>-100</v>
      </c>
    </row>
    <row r="42" customFormat="false" ht="12.5" hidden="false" customHeight="true" outlineLevel="0" collapsed="false">
      <c r="A42" s="210" t="s">
        <v>1103</v>
      </c>
      <c r="B42" s="211" t="s">
        <v>1121</v>
      </c>
      <c r="C42" s="246" t="s">
        <v>1156</v>
      </c>
      <c r="D42" s="247" t="s">
        <v>1157</v>
      </c>
      <c r="E42" s="248" t="n">
        <v>1</v>
      </c>
      <c r="F42" s="248" t="n">
        <v>3864.8</v>
      </c>
      <c r="G42" s="249" t="n">
        <v>4594</v>
      </c>
      <c r="H42" s="249"/>
      <c r="I42" s="249" t="n">
        <v>3561.51</v>
      </c>
      <c r="J42" s="250" t="n">
        <v>-1032.49</v>
      </c>
      <c r="K42" s="249"/>
      <c r="L42" s="249"/>
      <c r="M42" s="249" t="n">
        <v>-628.71</v>
      </c>
      <c r="N42" s="251" t="n">
        <v>326.42</v>
      </c>
      <c r="O42" s="252" t="n">
        <v>404</v>
      </c>
      <c r="P42" s="253" t="n">
        <v>-78</v>
      </c>
      <c r="Q42" s="220"/>
      <c r="R42" s="251" t="n">
        <v>799.7</v>
      </c>
      <c r="S42" s="252" t="n">
        <v>178.3</v>
      </c>
      <c r="T42" s="254" t="n">
        <v>5.88</v>
      </c>
      <c r="U42" s="251" t="n">
        <v>822.6</v>
      </c>
      <c r="V42" s="252" t="n">
        <v>78</v>
      </c>
      <c r="W42" s="255" t="n">
        <v>7.21</v>
      </c>
      <c r="X42" s="250" t="n">
        <v>22.9</v>
      </c>
      <c r="Y42" s="256"/>
    </row>
    <row r="43" customFormat="false" ht="12.5" hidden="false" customHeight="true" outlineLevel="0" collapsed="false">
      <c r="A43" s="210" t="s">
        <v>20</v>
      </c>
      <c r="B43" s="211" t="s">
        <v>1121</v>
      </c>
      <c r="C43" s="235" t="n">
        <v>232</v>
      </c>
      <c r="D43" s="236" t="s">
        <v>1158</v>
      </c>
      <c r="E43" s="237"/>
      <c r="F43" s="237" t="n">
        <v>52.71</v>
      </c>
      <c r="G43" s="238" t="n">
        <v>55</v>
      </c>
      <c r="H43" s="238"/>
      <c r="I43" s="238" t="n">
        <v>54.17</v>
      </c>
      <c r="J43" s="239" t="n">
        <v>-0.830000000000002</v>
      </c>
      <c r="K43" s="238"/>
      <c r="L43" s="238"/>
      <c r="M43" s="238" t="n">
        <v>1.46</v>
      </c>
      <c r="N43" s="240" t="n">
        <v>-8.88178419700125E-016</v>
      </c>
      <c r="O43" s="241"/>
      <c r="P43" s="242"/>
      <c r="Q43" s="220"/>
      <c r="R43" s="240"/>
      <c r="S43" s="241"/>
      <c r="T43" s="243"/>
      <c r="U43" s="240"/>
      <c r="V43" s="241"/>
      <c r="W43" s="244"/>
      <c r="X43" s="239"/>
      <c r="Y43" s="245"/>
    </row>
    <row r="44" customFormat="false" ht="12.5" hidden="false" customHeight="true" outlineLevel="0" collapsed="false">
      <c r="A44" s="210" t="s">
        <v>1103</v>
      </c>
      <c r="B44" s="211" t="s">
        <v>1121</v>
      </c>
      <c r="C44" s="246" t="s">
        <v>1159</v>
      </c>
      <c r="D44" s="247" t="s">
        <v>1149</v>
      </c>
      <c r="E44" s="248"/>
      <c r="F44" s="248" t="n">
        <v>2</v>
      </c>
      <c r="G44" s="249" t="n">
        <v>2</v>
      </c>
      <c r="H44" s="249"/>
      <c r="I44" s="249" t="n">
        <v>2</v>
      </c>
      <c r="J44" s="250"/>
      <c r="K44" s="249"/>
      <c r="L44" s="249"/>
      <c r="M44" s="249"/>
      <c r="N44" s="251"/>
      <c r="O44" s="252"/>
      <c r="P44" s="253"/>
      <c r="Q44" s="220"/>
      <c r="R44" s="251"/>
      <c r="S44" s="252"/>
      <c r="T44" s="254" t="n">
        <v>0</v>
      </c>
      <c r="U44" s="251"/>
      <c r="V44" s="252"/>
      <c r="W44" s="255" t="n">
        <v>0</v>
      </c>
      <c r="X44" s="250"/>
      <c r="Y44" s="256"/>
    </row>
    <row r="45" customFormat="false" ht="12.5" hidden="false" customHeight="true" outlineLevel="0" collapsed="false">
      <c r="A45" s="210" t="s">
        <v>1103</v>
      </c>
      <c r="B45" s="211" t="s">
        <v>1121</v>
      </c>
      <c r="C45" s="246" t="s">
        <v>1160</v>
      </c>
      <c r="D45" s="247" t="s">
        <v>1151</v>
      </c>
      <c r="E45" s="248"/>
      <c r="F45" s="248" t="n">
        <v>32.83</v>
      </c>
      <c r="G45" s="249" t="n">
        <v>35</v>
      </c>
      <c r="H45" s="249"/>
      <c r="I45" s="249" t="n">
        <v>34.08</v>
      </c>
      <c r="J45" s="250" t="n">
        <v>-0.920000000000002</v>
      </c>
      <c r="K45" s="249"/>
      <c r="L45" s="249"/>
      <c r="M45" s="249" t="n">
        <v>1.25</v>
      </c>
      <c r="N45" s="251"/>
      <c r="O45" s="252"/>
      <c r="P45" s="253"/>
      <c r="Q45" s="220"/>
      <c r="R45" s="251"/>
      <c r="S45" s="252"/>
      <c r="T45" s="254" t="n">
        <v>0</v>
      </c>
      <c r="U45" s="251"/>
      <c r="V45" s="252"/>
      <c r="W45" s="255" t="n">
        <v>0</v>
      </c>
      <c r="X45" s="250"/>
      <c r="Y45" s="256"/>
    </row>
    <row r="46" customFormat="false" ht="12.5" hidden="false" customHeight="true" outlineLevel="0" collapsed="false">
      <c r="A46" s="210" t="s">
        <v>1103</v>
      </c>
      <c r="B46" s="211" t="s">
        <v>1121</v>
      </c>
      <c r="C46" s="246" t="s">
        <v>1161</v>
      </c>
      <c r="D46" s="247" t="s">
        <v>1153</v>
      </c>
      <c r="E46" s="248"/>
      <c r="F46" s="248" t="n">
        <v>9</v>
      </c>
      <c r="G46" s="249" t="n">
        <v>10</v>
      </c>
      <c r="H46" s="249"/>
      <c r="I46" s="249" t="n">
        <v>10.42</v>
      </c>
      <c r="J46" s="250" t="n">
        <v>0.42</v>
      </c>
      <c r="K46" s="249"/>
      <c r="L46" s="249"/>
      <c r="M46" s="249" t="n">
        <v>1.42</v>
      </c>
      <c r="N46" s="251"/>
      <c r="O46" s="252"/>
      <c r="P46" s="253"/>
      <c r="Q46" s="220"/>
      <c r="R46" s="251"/>
      <c r="S46" s="252"/>
      <c r="T46" s="254" t="n">
        <v>0</v>
      </c>
      <c r="U46" s="251"/>
      <c r="V46" s="252"/>
      <c r="W46" s="255" t="n">
        <v>0</v>
      </c>
      <c r="X46" s="250"/>
      <c r="Y46" s="256"/>
    </row>
    <row r="47" customFormat="false" ht="12.5" hidden="false" customHeight="true" outlineLevel="0" collapsed="false">
      <c r="A47" s="210" t="s">
        <v>1103</v>
      </c>
      <c r="B47" s="211" t="s">
        <v>1121</v>
      </c>
      <c r="C47" s="246" t="s">
        <v>1162</v>
      </c>
      <c r="D47" s="247" t="s">
        <v>1155</v>
      </c>
      <c r="E47" s="248"/>
      <c r="F47" s="248" t="n">
        <v>8.88</v>
      </c>
      <c r="G47" s="249" t="n">
        <v>8</v>
      </c>
      <c r="H47" s="249"/>
      <c r="I47" s="249" t="n">
        <v>7.67</v>
      </c>
      <c r="J47" s="250" t="n">
        <v>-0.33</v>
      </c>
      <c r="K47" s="249"/>
      <c r="L47" s="249"/>
      <c r="M47" s="249" t="n">
        <v>-1.21</v>
      </c>
      <c r="N47" s="251" t="n">
        <v>-8.88178419700125E-016</v>
      </c>
      <c r="O47" s="252"/>
      <c r="P47" s="253"/>
      <c r="Q47" s="220"/>
      <c r="R47" s="251"/>
      <c r="S47" s="252"/>
      <c r="T47" s="254" t="n">
        <v>0</v>
      </c>
      <c r="U47" s="251"/>
      <c r="V47" s="252"/>
      <c r="W47" s="255" t="n">
        <v>0</v>
      </c>
      <c r="X47" s="250"/>
      <c r="Y47" s="256"/>
    </row>
    <row r="48" customFormat="false" ht="12.5" hidden="false" customHeight="true" outlineLevel="0" collapsed="false">
      <c r="A48" s="210" t="s">
        <v>20</v>
      </c>
      <c r="B48" s="211" t="s">
        <v>1121</v>
      </c>
      <c r="C48" s="235" t="n">
        <v>216</v>
      </c>
      <c r="D48" s="236" t="s">
        <v>1163</v>
      </c>
      <c r="E48" s="237" t="n">
        <v>3</v>
      </c>
      <c r="F48" s="237" t="n">
        <v>11111.16</v>
      </c>
      <c r="G48" s="238" t="n">
        <v>11112.93</v>
      </c>
      <c r="H48" s="238" t="n">
        <v>17.59</v>
      </c>
      <c r="I48" s="238" t="n">
        <v>11149.49</v>
      </c>
      <c r="J48" s="239" t="n">
        <v>18.9699999999997</v>
      </c>
      <c r="K48" s="238"/>
      <c r="L48" s="238" t="n">
        <v>-141</v>
      </c>
      <c r="M48" s="238" t="n">
        <v>32.73</v>
      </c>
      <c r="N48" s="240" t="n">
        <v>132.01</v>
      </c>
      <c r="O48" s="241" t="n">
        <v>106.96</v>
      </c>
      <c r="P48" s="242" t="n">
        <v>25</v>
      </c>
      <c r="Q48" s="220"/>
      <c r="R48" s="240" t="n">
        <v>2729.9</v>
      </c>
      <c r="S48" s="241" t="n">
        <v>282.9</v>
      </c>
      <c r="T48" s="243"/>
      <c r="U48" s="240" t="n">
        <v>2849.9</v>
      </c>
      <c r="V48" s="241" t="n">
        <v>1253</v>
      </c>
      <c r="W48" s="244"/>
      <c r="X48" s="239" t="n">
        <v>120</v>
      </c>
      <c r="Y48" s="245" t="n">
        <v>129</v>
      </c>
    </row>
    <row r="49" customFormat="false" ht="12.5" hidden="false" customHeight="true" outlineLevel="0" collapsed="false">
      <c r="A49" s="210" t="s">
        <v>1103</v>
      </c>
      <c r="B49" s="211" t="s">
        <v>1121</v>
      </c>
      <c r="C49" s="246" t="s">
        <v>1164</v>
      </c>
      <c r="D49" s="247" t="s">
        <v>1149</v>
      </c>
      <c r="E49" s="248" t="n">
        <v>1</v>
      </c>
      <c r="F49" s="248" t="n">
        <v>486.2</v>
      </c>
      <c r="G49" s="249" t="n">
        <v>506.43</v>
      </c>
      <c r="H49" s="249" t="n">
        <v>1</v>
      </c>
      <c r="I49" s="249" t="n">
        <v>515.15</v>
      </c>
      <c r="J49" s="250" t="n">
        <v>7.71999999999997</v>
      </c>
      <c r="K49" s="249"/>
      <c r="L49" s="249" t="n">
        <v>1</v>
      </c>
      <c r="M49" s="249" t="n">
        <v>18.74</v>
      </c>
      <c r="N49" s="251" t="n">
        <v>9.20999999999999</v>
      </c>
      <c r="O49" s="252" t="n">
        <v>15.06</v>
      </c>
      <c r="P49" s="253" t="n">
        <v>-6</v>
      </c>
      <c r="Q49" s="220"/>
      <c r="R49" s="251" t="n">
        <v>234</v>
      </c>
      <c r="S49" s="252" t="n">
        <v>27.4</v>
      </c>
      <c r="T49" s="254" t="n">
        <v>6.8</v>
      </c>
      <c r="U49" s="251" t="n">
        <v>220.2</v>
      </c>
      <c r="V49" s="252" t="n">
        <v>28</v>
      </c>
      <c r="W49" s="255" t="n">
        <v>6.73</v>
      </c>
      <c r="X49" s="250" t="n">
        <v>-13.8</v>
      </c>
      <c r="Y49" s="256" t="n">
        <v>9</v>
      </c>
    </row>
    <row r="50" customFormat="false" ht="12.5" hidden="false" customHeight="true" outlineLevel="0" collapsed="false">
      <c r="A50" s="210" t="s">
        <v>1103</v>
      </c>
      <c r="B50" s="211" t="s">
        <v>1121</v>
      </c>
      <c r="C50" s="246" t="s">
        <v>1165</v>
      </c>
      <c r="D50" s="247" t="s">
        <v>1151</v>
      </c>
      <c r="E50" s="248" t="n">
        <v>2</v>
      </c>
      <c r="F50" s="248" t="n">
        <v>2060.32</v>
      </c>
      <c r="G50" s="249" t="n">
        <v>1824.48</v>
      </c>
      <c r="H50" s="249" t="n">
        <v>-0.91</v>
      </c>
      <c r="I50" s="249" t="n">
        <v>2246.97</v>
      </c>
      <c r="J50" s="250" t="n">
        <v>423.4</v>
      </c>
      <c r="K50" s="249"/>
      <c r="L50" s="249" t="n">
        <v>-14</v>
      </c>
      <c r="M50" s="249" t="n">
        <v>45.38</v>
      </c>
      <c r="N50" s="251" t="n">
        <v>158.18</v>
      </c>
      <c r="O50" s="252" t="n">
        <v>87.35</v>
      </c>
      <c r="P50" s="253" t="n">
        <v>71</v>
      </c>
      <c r="Q50" s="220"/>
      <c r="R50" s="251" t="n">
        <v>667</v>
      </c>
      <c r="S50" s="252" t="n">
        <v>27.8</v>
      </c>
      <c r="T50" s="254" t="n">
        <v>6.33</v>
      </c>
      <c r="U50" s="251" t="n">
        <v>837.1</v>
      </c>
      <c r="V50" s="252" t="n">
        <v>488</v>
      </c>
      <c r="W50" s="255" t="n">
        <v>6.67</v>
      </c>
      <c r="X50" s="250" t="n">
        <v>170.1</v>
      </c>
      <c r="Y50" s="256" t="n">
        <v>81</v>
      </c>
    </row>
    <row r="51" customFormat="false" ht="12.5" hidden="false" customHeight="true" outlineLevel="0" collapsed="false">
      <c r="A51" s="210" t="s">
        <v>1103</v>
      </c>
      <c r="B51" s="211" t="s">
        <v>1121</v>
      </c>
      <c r="C51" s="246" t="s">
        <v>1166</v>
      </c>
      <c r="D51" s="247" t="s">
        <v>1153</v>
      </c>
      <c r="E51" s="248"/>
      <c r="F51" s="248" t="n">
        <v>1418.68</v>
      </c>
      <c r="G51" s="249" t="n">
        <v>1372.91</v>
      </c>
      <c r="H51" s="249" t="n">
        <v>1.5</v>
      </c>
      <c r="I51" s="249" t="n">
        <v>1427.77</v>
      </c>
      <c r="J51" s="250" t="n">
        <v>53.3599999999999</v>
      </c>
      <c r="K51" s="249"/>
      <c r="L51" s="249" t="n">
        <v>-26</v>
      </c>
      <c r="M51" s="249" t="n">
        <v>-60.38</v>
      </c>
      <c r="N51" s="251" t="n">
        <v>93.9699999999999</v>
      </c>
      <c r="O51" s="252" t="n">
        <v>76.62</v>
      </c>
      <c r="P51" s="253" t="n">
        <v>17</v>
      </c>
      <c r="Q51" s="220"/>
      <c r="R51" s="251" t="n">
        <v>432.6</v>
      </c>
      <c r="S51" s="252" t="n">
        <v>31.6</v>
      </c>
      <c r="T51" s="254" t="n">
        <v>6.43</v>
      </c>
      <c r="U51" s="251" t="n">
        <v>492</v>
      </c>
      <c r="V51" s="252" t="n">
        <v>218</v>
      </c>
      <c r="W51" s="255" t="n">
        <v>6.8</v>
      </c>
      <c r="X51" s="250" t="n">
        <v>59.4</v>
      </c>
      <c r="Y51" s="256"/>
    </row>
    <row r="52" customFormat="false" ht="12.5" hidden="false" customHeight="true" outlineLevel="0" collapsed="false">
      <c r="A52" s="210" t="s">
        <v>1103</v>
      </c>
      <c r="B52" s="211" t="s">
        <v>1121</v>
      </c>
      <c r="C52" s="246" t="s">
        <v>1167</v>
      </c>
      <c r="D52" s="247" t="s">
        <v>1155</v>
      </c>
      <c r="E52" s="248"/>
      <c r="F52" s="248" t="n">
        <v>2097.2</v>
      </c>
      <c r="G52" s="249" t="n">
        <v>2011.57</v>
      </c>
      <c r="H52" s="249" t="n">
        <v>16</v>
      </c>
      <c r="I52" s="249" t="n">
        <v>1956.28</v>
      </c>
      <c r="J52" s="250" t="n">
        <v>-71.29</v>
      </c>
      <c r="K52" s="249"/>
      <c r="L52" s="249" t="n">
        <v>-96</v>
      </c>
      <c r="M52" s="249" t="n">
        <v>-74.35</v>
      </c>
      <c r="N52" s="251" t="n">
        <v>13.4300000000001</v>
      </c>
      <c r="O52" s="252" t="n">
        <v>-16.7</v>
      </c>
      <c r="P52" s="253" t="n">
        <v>30</v>
      </c>
      <c r="Q52" s="220"/>
      <c r="R52" s="251" t="n">
        <v>800</v>
      </c>
      <c r="S52" s="252" t="n">
        <v>35.4</v>
      </c>
      <c r="T52" s="254" t="n">
        <v>6.63</v>
      </c>
      <c r="U52" s="251" t="n">
        <v>826.9</v>
      </c>
      <c r="V52" s="252" t="n">
        <v>329</v>
      </c>
      <c r="W52" s="255" t="n">
        <v>6.4</v>
      </c>
      <c r="X52" s="250" t="n">
        <v>26.9</v>
      </c>
      <c r="Y52" s="256"/>
    </row>
    <row r="53" customFormat="false" ht="12.5" hidden="false" customHeight="true" outlineLevel="0" collapsed="false">
      <c r="A53" s="210" t="s">
        <v>1103</v>
      </c>
      <c r="B53" s="211" t="s">
        <v>1121</v>
      </c>
      <c r="C53" s="246" t="s">
        <v>1168</v>
      </c>
      <c r="D53" s="247" t="s">
        <v>1157</v>
      </c>
      <c r="E53" s="248"/>
      <c r="F53" s="248" t="n">
        <v>2126.3</v>
      </c>
      <c r="G53" s="249" t="n">
        <v>2301.13</v>
      </c>
      <c r="H53" s="249"/>
      <c r="I53" s="249" t="n">
        <v>2145.54</v>
      </c>
      <c r="J53" s="250" t="n">
        <v>-155.59</v>
      </c>
      <c r="K53" s="249"/>
      <c r="L53" s="249" t="n">
        <v>-6</v>
      </c>
      <c r="M53" s="249" t="n">
        <v>103.28</v>
      </c>
      <c r="N53" s="251" t="n">
        <v>-78.0400000000002</v>
      </c>
      <c r="O53" s="252" t="n">
        <v>-14.25</v>
      </c>
      <c r="P53" s="253" t="n">
        <v>-64</v>
      </c>
      <c r="Q53" s="220"/>
      <c r="R53" s="251" t="n">
        <v>312.3</v>
      </c>
      <c r="S53" s="252" t="n">
        <v>58.4</v>
      </c>
      <c r="T53" s="254" t="n">
        <v>5.83</v>
      </c>
      <c r="U53" s="251" t="n">
        <v>240.4</v>
      </c>
      <c r="V53" s="252" t="n">
        <v>55</v>
      </c>
      <c r="W53" s="255" t="n">
        <v>6.87</v>
      </c>
      <c r="X53" s="250" t="n">
        <v>-71.9</v>
      </c>
      <c r="Y53" s="256" t="n">
        <v>1</v>
      </c>
    </row>
    <row r="54" customFormat="false" ht="12.5" hidden="false" customHeight="true" outlineLevel="0" collapsed="false">
      <c r="A54" s="210" t="s">
        <v>1103</v>
      </c>
      <c r="B54" s="211" t="s">
        <v>1121</v>
      </c>
      <c r="C54" s="246" t="s">
        <v>1169</v>
      </c>
      <c r="D54" s="247" t="s">
        <v>1170</v>
      </c>
      <c r="E54" s="248"/>
      <c r="F54" s="248" t="n">
        <v>1185.51</v>
      </c>
      <c r="G54" s="249" t="n">
        <v>1186.45</v>
      </c>
      <c r="H54" s="249"/>
      <c r="I54" s="249" t="n">
        <v>1151.94</v>
      </c>
      <c r="J54" s="250" t="n">
        <v>-34.51</v>
      </c>
      <c r="K54" s="249"/>
      <c r="L54" s="249"/>
      <c r="M54" s="249" t="n">
        <v>0.11</v>
      </c>
      <c r="N54" s="251" t="n">
        <v>-33.6799999999999</v>
      </c>
      <c r="O54" s="252" t="n">
        <v>-14.67</v>
      </c>
      <c r="P54" s="253" t="n">
        <v>-19</v>
      </c>
      <c r="Q54" s="220"/>
      <c r="R54" s="251" t="n">
        <v>87</v>
      </c>
      <c r="S54" s="252" t="n">
        <v>38</v>
      </c>
      <c r="T54" s="254" t="n">
        <v>7.43</v>
      </c>
      <c r="U54" s="251" t="n">
        <v>57</v>
      </c>
      <c r="V54" s="252" t="n">
        <v>46</v>
      </c>
      <c r="W54" s="255" t="n">
        <v>8.5</v>
      </c>
      <c r="X54" s="250" t="n">
        <v>-30</v>
      </c>
      <c r="Y54" s="256"/>
    </row>
    <row r="55" customFormat="false" ht="12.5" hidden="false" customHeight="true" outlineLevel="0" collapsed="false">
      <c r="A55" s="210" t="s">
        <v>1103</v>
      </c>
      <c r="B55" s="211" t="s">
        <v>1121</v>
      </c>
      <c r="C55" s="246" t="s">
        <v>1171</v>
      </c>
      <c r="D55" s="247" t="s">
        <v>1172</v>
      </c>
      <c r="E55" s="248"/>
      <c r="F55" s="248" t="n">
        <v>174.98</v>
      </c>
      <c r="G55" s="249" t="n">
        <v>249.02</v>
      </c>
      <c r="H55" s="249"/>
      <c r="I55" s="249" t="n">
        <v>149.29</v>
      </c>
      <c r="J55" s="250" t="n">
        <v>-99.73</v>
      </c>
      <c r="K55" s="249"/>
      <c r="L55" s="249"/>
      <c r="M55" s="249" t="n">
        <v>-5.42</v>
      </c>
      <c r="N55" s="251" t="n">
        <v>-20.27</v>
      </c>
      <c r="O55" s="252" t="n">
        <v>-7.28</v>
      </c>
      <c r="P55" s="253" t="n">
        <v>-13</v>
      </c>
      <c r="Q55" s="220"/>
      <c r="R55" s="251" t="n">
        <v>34.8</v>
      </c>
      <c r="S55" s="252" t="n">
        <v>19.5</v>
      </c>
      <c r="T55" s="254" t="n">
        <v>5.27</v>
      </c>
      <c r="U55" s="251" t="n">
        <v>12.3</v>
      </c>
      <c r="V55" s="252"/>
      <c r="W55" s="255" t="n">
        <v>3.8</v>
      </c>
      <c r="X55" s="250" t="n">
        <v>-22.5</v>
      </c>
      <c r="Y55" s="256"/>
    </row>
    <row r="56" customFormat="false" ht="12.5" hidden="false" customHeight="true" outlineLevel="0" collapsed="false">
      <c r="A56" s="210" t="s">
        <v>1103</v>
      </c>
      <c r="B56" s="211" t="s">
        <v>1121</v>
      </c>
      <c r="C56" s="246" t="s">
        <v>1173</v>
      </c>
      <c r="D56" s="247" t="s">
        <v>1174</v>
      </c>
      <c r="E56" s="248"/>
      <c r="F56" s="248" t="n">
        <v>20.55</v>
      </c>
      <c r="G56" s="249" t="n">
        <v>33.83</v>
      </c>
      <c r="H56" s="249"/>
      <c r="I56" s="249" t="n">
        <v>19.78</v>
      </c>
      <c r="J56" s="250" t="n">
        <v>-14.05</v>
      </c>
      <c r="K56" s="249"/>
      <c r="L56" s="249"/>
      <c r="M56" s="249" t="n">
        <v>2.65</v>
      </c>
      <c r="N56" s="251" t="n">
        <v>-3.42</v>
      </c>
      <c r="O56" s="252" t="n">
        <v>-0.17</v>
      </c>
      <c r="P56" s="253" t="n">
        <v>-3</v>
      </c>
      <c r="Q56" s="220"/>
      <c r="R56" s="251" t="n">
        <v>8</v>
      </c>
      <c r="S56" s="252" t="n">
        <v>5</v>
      </c>
      <c r="T56" s="254" t="n">
        <v>8.13</v>
      </c>
      <c r="U56" s="251"/>
      <c r="V56" s="252"/>
      <c r="W56" s="255" t="n">
        <v>0</v>
      </c>
      <c r="X56" s="250" t="n">
        <v>-8</v>
      </c>
      <c r="Y56" s="256"/>
    </row>
    <row r="57" customFormat="false" ht="12.5" hidden="false" customHeight="true" outlineLevel="0" collapsed="false">
      <c r="A57" s="210" t="s">
        <v>1103</v>
      </c>
      <c r="B57" s="211" t="s">
        <v>1121</v>
      </c>
      <c r="C57" s="246" t="s">
        <v>1175</v>
      </c>
      <c r="D57" s="247" t="s">
        <v>1176</v>
      </c>
      <c r="E57" s="248"/>
      <c r="F57" s="248" t="n">
        <v>21.47</v>
      </c>
      <c r="G57" s="249" t="n">
        <v>32.83</v>
      </c>
      <c r="H57" s="249"/>
      <c r="I57" s="249" t="n">
        <v>24.23</v>
      </c>
      <c r="J57" s="250" t="n">
        <v>-8.6</v>
      </c>
      <c r="K57" s="249"/>
      <c r="L57" s="249"/>
      <c r="M57" s="249" t="n">
        <v>1.69</v>
      </c>
      <c r="N57" s="251" t="n">
        <v>1.07</v>
      </c>
      <c r="O57" s="252" t="n">
        <v>0.99</v>
      </c>
      <c r="P57" s="253"/>
      <c r="Q57" s="220"/>
      <c r="R57" s="251" t="n">
        <v>2</v>
      </c>
      <c r="S57" s="252"/>
      <c r="T57" s="254" t="n">
        <v>9.53</v>
      </c>
      <c r="U57" s="251" t="n">
        <v>2</v>
      </c>
      <c r="V57" s="252"/>
      <c r="W57" s="255" t="n">
        <v>9.03</v>
      </c>
      <c r="X57" s="250"/>
      <c r="Y57" s="256"/>
    </row>
    <row r="58" customFormat="false" ht="12.5" hidden="false" customHeight="true" outlineLevel="0" collapsed="false">
      <c r="A58" s="210" t="s">
        <v>1103</v>
      </c>
      <c r="B58" s="211" t="s">
        <v>1121</v>
      </c>
      <c r="C58" s="246" t="s">
        <v>1177</v>
      </c>
      <c r="D58" s="247" t="s">
        <v>1178</v>
      </c>
      <c r="E58" s="248"/>
      <c r="F58" s="248" t="n">
        <v>15.25</v>
      </c>
      <c r="G58" s="249" t="n">
        <v>28</v>
      </c>
      <c r="H58" s="249"/>
      <c r="I58" s="249" t="n">
        <v>21.88</v>
      </c>
      <c r="J58" s="250" t="n">
        <v>-6.12</v>
      </c>
      <c r="K58" s="249"/>
      <c r="L58" s="249"/>
      <c r="M58" s="249" t="n">
        <v>7.39</v>
      </c>
      <c r="N58" s="251" t="n">
        <v>-0.760000000000001</v>
      </c>
      <c r="O58" s="252" t="n">
        <v>-0.51</v>
      </c>
      <c r="P58" s="253"/>
      <c r="Q58" s="220"/>
      <c r="R58" s="251" t="n">
        <v>5</v>
      </c>
      <c r="S58" s="252" t="n">
        <v>1</v>
      </c>
      <c r="T58" s="254" t="n">
        <v>9.23</v>
      </c>
      <c r="U58" s="251" t="n">
        <v>4</v>
      </c>
      <c r="V58" s="252"/>
      <c r="W58" s="255" t="n">
        <v>9.03</v>
      </c>
      <c r="X58" s="250" t="n">
        <v>-1</v>
      </c>
      <c r="Y58" s="256"/>
    </row>
    <row r="59" customFormat="false" ht="12.5" hidden="false" customHeight="true" outlineLevel="0" collapsed="false">
      <c r="A59" s="210" t="s">
        <v>1103</v>
      </c>
      <c r="B59" s="211" t="s">
        <v>1121</v>
      </c>
      <c r="C59" s="246" t="s">
        <v>1179</v>
      </c>
      <c r="D59" s="247" t="s">
        <v>1180</v>
      </c>
      <c r="E59" s="248"/>
      <c r="F59" s="248" t="n">
        <v>36.29</v>
      </c>
      <c r="G59" s="249" t="n">
        <v>42</v>
      </c>
      <c r="H59" s="249"/>
      <c r="I59" s="249" t="n">
        <v>25.97</v>
      </c>
      <c r="J59" s="250" t="n">
        <v>-16.03</v>
      </c>
      <c r="K59" s="249"/>
      <c r="L59" s="249"/>
      <c r="M59" s="249" t="n">
        <v>-7.35</v>
      </c>
      <c r="N59" s="251" t="n">
        <v>-2.97</v>
      </c>
      <c r="O59" s="252" t="n">
        <v>-2.88</v>
      </c>
      <c r="P59" s="253"/>
      <c r="Q59" s="220"/>
      <c r="R59" s="251" t="n">
        <v>6</v>
      </c>
      <c r="S59" s="252"/>
      <c r="T59" s="254" t="n">
        <v>9.17</v>
      </c>
      <c r="U59" s="251" t="n">
        <v>5</v>
      </c>
      <c r="V59" s="252"/>
      <c r="W59" s="255" t="n">
        <v>8.63</v>
      </c>
      <c r="X59" s="250" t="n">
        <v>-1</v>
      </c>
      <c r="Y59" s="256"/>
    </row>
    <row r="60" customFormat="false" ht="12.5" hidden="false" customHeight="true" outlineLevel="0" collapsed="false">
      <c r="A60" s="210" t="s">
        <v>1103</v>
      </c>
      <c r="B60" s="211" t="s">
        <v>1121</v>
      </c>
      <c r="C60" s="246" t="s">
        <v>1181</v>
      </c>
      <c r="D60" s="247" t="s">
        <v>1182</v>
      </c>
      <c r="E60" s="248"/>
      <c r="F60" s="248" t="n">
        <v>10.08</v>
      </c>
      <c r="G60" s="249" t="n">
        <v>28</v>
      </c>
      <c r="H60" s="249"/>
      <c r="I60" s="249" t="n">
        <v>7.43</v>
      </c>
      <c r="J60" s="250" t="n">
        <v>-20.57</v>
      </c>
      <c r="K60" s="249"/>
      <c r="L60" s="249"/>
      <c r="M60" s="249" t="n">
        <v>-0.83</v>
      </c>
      <c r="N60" s="251" t="n">
        <v>-1.82</v>
      </c>
      <c r="O60" s="252" t="n">
        <v>-0.25</v>
      </c>
      <c r="P60" s="253" t="n">
        <v>-2</v>
      </c>
      <c r="Q60" s="220"/>
      <c r="R60" s="251" t="n">
        <v>3</v>
      </c>
      <c r="S60" s="252" t="n">
        <v>2</v>
      </c>
      <c r="T60" s="254" t="n">
        <v>3.73</v>
      </c>
      <c r="U60" s="251" t="n">
        <v>1</v>
      </c>
      <c r="V60" s="252"/>
      <c r="W60" s="255" t="n">
        <v>4.03</v>
      </c>
      <c r="X60" s="250" t="n">
        <v>-2</v>
      </c>
      <c r="Y60" s="256"/>
    </row>
    <row r="61" customFormat="false" ht="12.5" hidden="false" customHeight="true" outlineLevel="0" collapsed="false">
      <c r="A61" s="210" t="s">
        <v>1103</v>
      </c>
      <c r="B61" s="211" t="s">
        <v>1121</v>
      </c>
      <c r="C61" s="246" t="s">
        <v>1183</v>
      </c>
      <c r="D61" s="247" t="s">
        <v>1184</v>
      </c>
      <c r="E61" s="248"/>
      <c r="F61" s="248" t="n">
        <v>94.77</v>
      </c>
      <c r="G61" s="249" t="n">
        <v>96</v>
      </c>
      <c r="H61" s="249"/>
      <c r="I61" s="249" t="n">
        <v>84.62</v>
      </c>
      <c r="J61" s="250" t="n">
        <v>-11.38</v>
      </c>
      <c r="K61" s="249"/>
      <c r="L61" s="249"/>
      <c r="M61" s="249" t="n">
        <v>-5.72</v>
      </c>
      <c r="N61" s="251" t="n">
        <v>-4.42999999999999</v>
      </c>
      <c r="O61" s="252" t="n">
        <v>-4.02</v>
      </c>
      <c r="P61" s="253"/>
      <c r="Q61" s="220"/>
      <c r="R61" s="251" t="n">
        <v>9</v>
      </c>
      <c r="S61" s="252" t="n">
        <v>2</v>
      </c>
      <c r="T61" s="254" t="n">
        <v>7.93</v>
      </c>
      <c r="U61" s="251" t="n">
        <v>10</v>
      </c>
      <c r="V61" s="252"/>
      <c r="W61" s="255" t="n">
        <v>8.93</v>
      </c>
      <c r="X61" s="250" t="n">
        <v>1</v>
      </c>
      <c r="Y61" s="256"/>
    </row>
    <row r="62" customFormat="false" ht="12.5" hidden="false" customHeight="true" outlineLevel="0" collapsed="false">
      <c r="A62" s="210" t="s">
        <v>1103</v>
      </c>
      <c r="B62" s="211" t="s">
        <v>1121</v>
      </c>
      <c r="C62" s="246" t="s">
        <v>1185</v>
      </c>
      <c r="D62" s="247" t="s">
        <v>1186</v>
      </c>
      <c r="E62" s="248"/>
      <c r="F62" s="248"/>
      <c r="G62" s="249" t="n">
        <v>5</v>
      </c>
      <c r="H62" s="249"/>
      <c r="I62" s="249"/>
      <c r="J62" s="250" t="n">
        <v>-5</v>
      </c>
      <c r="K62" s="249"/>
      <c r="L62" s="249"/>
      <c r="M62" s="249"/>
      <c r="N62" s="251"/>
      <c r="O62" s="252"/>
      <c r="P62" s="253"/>
      <c r="Q62" s="220"/>
      <c r="R62" s="251"/>
      <c r="S62" s="252"/>
      <c r="T62" s="254" t="n">
        <v>0</v>
      </c>
      <c r="U62" s="251"/>
      <c r="V62" s="252"/>
      <c r="W62" s="255" t="n">
        <v>0</v>
      </c>
      <c r="X62" s="250"/>
      <c r="Y62" s="256"/>
    </row>
    <row r="63" customFormat="false" ht="12.5" hidden="false" customHeight="true" outlineLevel="0" collapsed="false">
      <c r="A63" s="210" t="s">
        <v>1103</v>
      </c>
      <c r="B63" s="211" t="s">
        <v>1121</v>
      </c>
      <c r="C63" s="246" t="s">
        <v>1187</v>
      </c>
      <c r="D63" s="247" t="s">
        <v>1188</v>
      </c>
      <c r="E63" s="248"/>
      <c r="F63" s="248" t="n">
        <v>1363.56</v>
      </c>
      <c r="G63" s="249" t="n">
        <v>1395.28</v>
      </c>
      <c r="H63" s="249"/>
      <c r="I63" s="249" t="n">
        <v>1372.64</v>
      </c>
      <c r="J63" s="250" t="n">
        <v>-22.6399999999999</v>
      </c>
      <c r="K63" s="249"/>
      <c r="L63" s="249"/>
      <c r="M63" s="249" t="n">
        <v>7.54</v>
      </c>
      <c r="N63" s="251" t="n">
        <v>1.54000000000015</v>
      </c>
      <c r="O63" s="252" t="n">
        <v>-12.33</v>
      </c>
      <c r="P63" s="253" t="n">
        <v>14</v>
      </c>
      <c r="Q63" s="220"/>
      <c r="R63" s="251" t="n">
        <v>129.2</v>
      </c>
      <c r="S63" s="252" t="n">
        <v>34.8</v>
      </c>
      <c r="T63" s="254" t="n">
        <v>4.43</v>
      </c>
      <c r="U63" s="251" t="n">
        <v>142</v>
      </c>
      <c r="V63" s="252" t="n">
        <v>89</v>
      </c>
      <c r="W63" s="255" t="n">
        <v>4.03</v>
      </c>
      <c r="X63" s="250" t="n">
        <v>12.8</v>
      </c>
      <c r="Y63" s="256" t="n">
        <v>38</v>
      </c>
    </row>
    <row r="64" customFormat="false" ht="12.5" hidden="false" customHeight="true" outlineLevel="0" collapsed="false">
      <c r="A64" s="210" t="s">
        <v>18</v>
      </c>
      <c r="B64" s="211" t="s">
        <v>1121</v>
      </c>
      <c r="C64" s="224" t="s">
        <v>1189</v>
      </c>
      <c r="D64" s="225" t="s">
        <v>1190</v>
      </c>
      <c r="E64" s="226" t="n">
        <v>-7.3</v>
      </c>
      <c r="F64" s="226" t="n">
        <v>11394.22</v>
      </c>
      <c r="G64" s="227" t="n">
        <v>11813</v>
      </c>
      <c r="H64" s="227" t="n">
        <v>-17.89</v>
      </c>
      <c r="I64" s="227" t="n">
        <v>11609</v>
      </c>
      <c r="J64" s="228" t="n">
        <v>-186.11</v>
      </c>
      <c r="K64" s="227"/>
      <c r="L64" s="227"/>
      <c r="M64" s="227" t="n">
        <v>-196.07</v>
      </c>
      <c r="N64" s="229" t="n">
        <v>421.44</v>
      </c>
      <c r="O64" s="230" t="n">
        <v>62.84</v>
      </c>
      <c r="P64" s="231" t="n">
        <v>359</v>
      </c>
      <c r="Q64" s="220"/>
      <c r="R64" s="229" t="n">
        <v>1863</v>
      </c>
      <c r="S64" s="230" t="n">
        <v>302</v>
      </c>
      <c r="T64" s="232"/>
      <c r="U64" s="229" t="n">
        <v>2015</v>
      </c>
      <c r="V64" s="230" t="n">
        <v>37</v>
      </c>
      <c r="W64" s="233"/>
      <c r="X64" s="228" t="n">
        <v>152</v>
      </c>
      <c r="Y64" s="234" t="n">
        <v>152</v>
      </c>
    </row>
    <row r="65" customFormat="false" ht="12.5" hidden="false" customHeight="true" outlineLevel="0" collapsed="false">
      <c r="A65" s="210" t="s">
        <v>20</v>
      </c>
      <c r="B65" s="211" t="s">
        <v>1121</v>
      </c>
      <c r="C65" s="235" t="n">
        <v>206</v>
      </c>
      <c r="D65" s="236" t="s">
        <v>1191</v>
      </c>
      <c r="E65" s="237"/>
      <c r="F65" s="237" t="n">
        <v>5022</v>
      </c>
      <c r="G65" s="238" t="n">
        <v>5158</v>
      </c>
      <c r="H65" s="238"/>
      <c r="I65" s="238" t="n">
        <v>5141</v>
      </c>
      <c r="J65" s="239" t="n">
        <v>-17</v>
      </c>
      <c r="K65" s="238"/>
      <c r="L65" s="238"/>
      <c r="M65" s="238" t="n">
        <v>-97.08</v>
      </c>
      <c r="N65" s="240" t="n">
        <v>216.08</v>
      </c>
      <c r="O65" s="241" t="n">
        <v>1</v>
      </c>
      <c r="P65" s="242" t="n">
        <v>215</v>
      </c>
      <c r="Q65" s="220"/>
      <c r="R65" s="240" t="n">
        <v>893</v>
      </c>
      <c r="S65" s="241" t="n">
        <v>134</v>
      </c>
      <c r="T65" s="243"/>
      <c r="U65" s="240" t="n">
        <v>946</v>
      </c>
      <c r="V65" s="241" t="n">
        <v>37</v>
      </c>
      <c r="W65" s="244"/>
      <c r="X65" s="239" t="n">
        <v>53</v>
      </c>
      <c r="Y65" s="245" t="n">
        <v>53</v>
      </c>
    </row>
    <row r="66" customFormat="false" ht="12.5" hidden="false" customHeight="true" outlineLevel="0" collapsed="false">
      <c r="A66" s="210" t="s">
        <v>1103</v>
      </c>
      <c r="B66" s="211" t="s">
        <v>1121</v>
      </c>
      <c r="C66" s="246" t="s">
        <v>1192</v>
      </c>
      <c r="D66" s="247" t="s">
        <v>1193</v>
      </c>
      <c r="E66" s="248"/>
      <c r="F66" s="248" t="n">
        <v>2</v>
      </c>
      <c r="G66" s="249"/>
      <c r="H66" s="249"/>
      <c r="I66" s="249" t="n">
        <v>2</v>
      </c>
      <c r="J66" s="250" t="n">
        <v>2</v>
      </c>
      <c r="K66" s="249"/>
      <c r="L66" s="249"/>
      <c r="M66" s="249"/>
      <c r="N66" s="251"/>
      <c r="O66" s="252"/>
      <c r="P66" s="253"/>
      <c r="Q66" s="220"/>
      <c r="R66" s="251"/>
      <c r="S66" s="252"/>
      <c r="T66" s="254" t="n">
        <v>0</v>
      </c>
      <c r="U66" s="251"/>
      <c r="V66" s="252"/>
      <c r="W66" s="255" t="n">
        <v>0</v>
      </c>
      <c r="X66" s="250"/>
      <c r="Y66" s="256"/>
    </row>
    <row r="67" customFormat="false" ht="12.5" hidden="false" customHeight="true" outlineLevel="0" collapsed="false">
      <c r="A67" s="210" t="s">
        <v>1103</v>
      </c>
      <c r="B67" s="211" t="s">
        <v>1121</v>
      </c>
      <c r="C67" s="246" t="s">
        <v>1194</v>
      </c>
      <c r="D67" s="247" t="s">
        <v>1195</v>
      </c>
      <c r="E67" s="248"/>
      <c r="F67" s="248" t="n">
        <v>1140.4</v>
      </c>
      <c r="G67" s="249" t="n">
        <v>1311</v>
      </c>
      <c r="H67" s="249"/>
      <c r="I67" s="249" t="n">
        <v>1158</v>
      </c>
      <c r="J67" s="250" t="n">
        <v>-153</v>
      </c>
      <c r="K67" s="249"/>
      <c r="L67" s="249"/>
      <c r="M67" s="249" t="n">
        <v>-23.15</v>
      </c>
      <c r="N67" s="251" t="n">
        <v>40.7499999999999</v>
      </c>
      <c r="O67" s="252" t="n">
        <v>6.89</v>
      </c>
      <c r="P67" s="253" t="n">
        <v>34</v>
      </c>
      <c r="Q67" s="220"/>
      <c r="R67" s="251" t="n">
        <v>173</v>
      </c>
      <c r="S67" s="252" t="n">
        <v>24</v>
      </c>
      <c r="T67" s="254" t="n">
        <v>6.96</v>
      </c>
      <c r="U67" s="251" t="n">
        <v>225</v>
      </c>
      <c r="V67" s="252" t="n">
        <v>5</v>
      </c>
      <c r="W67" s="255" t="n">
        <v>6.55</v>
      </c>
      <c r="X67" s="250" t="n">
        <v>52</v>
      </c>
      <c r="Y67" s="256" t="n">
        <v>53</v>
      </c>
    </row>
    <row r="68" customFormat="false" ht="12.5" hidden="false" customHeight="true" outlineLevel="0" collapsed="false">
      <c r="A68" s="210" t="s">
        <v>1103</v>
      </c>
      <c r="B68" s="211" t="s">
        <v>1121</v>
      </c>
      <c r="C68" s="246" t="s">
        <v>1196</v>
      </c>
      <c r="D68" s="247" t="s">
        <v>1197</v>
      </c>
      <c r="E68" s="248"/>
      <c r="F68" s="248" t="n">
        <v>3879.6</v>
      </c>
      <c r="G68" s="249" t="n">
        <v>3847</v>
      </c>
      <c r="H68" s="249"/>
      <c r="I68" s="249" t="n">
        <v>3981</v>
      </c>
      <c r="J68" s="250" t="n">
        <v>134</v>
      </c>
      <c r="K68" s="249"/>
      <c r="L68" s="249"/>
      <c r="M68" s="249" t="n">
        <v>-73.93</v>
      </c>
      <c r="N68" s="251" t="n">
        <v>175.33</v>
      </c>
      <c r="O68" s="252" t="n">
        <v>-5.89</v>
      </c>
      <c r="P68" s="253" t="n">
        <v>181</v>
      </c>
      <c r="Q68" s="220"/>
      <c r="R68" s="251" t="n">
        <v>720</v>
      </c>
      <c r="S68" s="252" t="n">
        <v>110</v>
      </c>
      <c r="T68" s="254" t="n">
        <v>8.56</v>
      </c>
      <c r="U68" s="251" t="n">
        <v>721</v>
      </c>
      <c r="V68" s="252" t="n">
        <v>32</v>
      </c>
      <c r="W68" s="255" t="n">
        <v>5.55</v>
      </c>
      <c r="X68" s="250" t="n">
        <v>1</v>
      </c>
      <c r="Y68" s="256"/>
    </row>
    <row r="69" customFormat="false" ht="12.5" hidden="false" customHeight="true" outlineLevel="0" collapsed="false">
      <c r="A69" s="210" t="s">
        <v>20</v>
      </c>
      <c r="B69" s="211" t="s">
        <v>1121</v>
      </c>
      <c r="C69" s="235" t="n">
        <v>215</v>
      </c>
      <c r="D69" s="236" t="s">
        <v>1198</v>
      </c>
      <c r="E69" s="237" t="n">
        <v>-7.3</v>
      </c>
      <c r="F69" s="237" t="n">
        <v>6372.22</v>
      </c>
      <c r="G69" s="238" t="n">
        <v>6655</v>
      </c>
      <c r="H69" s="238" t="n">
        <v>-17.89</v>
      </c>
      <c r="I69" s="238" t="n">
        <v>6468</v>
      </c>
      <c r="J69" s="239" t="n">
        <v>-169.11</v>
      </c>
      <c r="K69" s="238"/>
      <c r="L69" s="238"/>
      <c r="M69" s="238" t="n">
        <v>-98.99</v>
      </c>
      <c r="N69" s="240" t="n">
        <v>205.36</v>
      </c>
      <c r="O69" s="241" t="n">
        <v>61.84</v>
      </c>
      <c r="P69" s="242" t="n">
        <v>144</v>
      </c>
      <c r="Q69" s="220"/>
      <c r="R69" s="240" t="n">
        <v>970</v>
      </c>
      <c r="S69" s="241" t="n">
        <v>168</v>
      </c>
      <c r="T69" s="243"/>
      <c r="U69" s="240" t="n">
        <v>1069</v>
      </c>
      <c r="V69" s="241"/>
      <c r="W69" s="244"/>
      <c r="X69" s="239" t="n">
        <v>99</v>
      </c>
      <c r="Y69" s="245" t="n">
        <v>99</v>
      </c>
    </row>
    <row r="70" customFormat="false" ht="12.5" hidden="false" customHeight="true" outlineLevel="0" collapsed="false">
      <c r="A70" s="210" t="s">
        <v>1103</v>
      </c>
      <c r="B70" s="211" t="s">
        <v>1121</v>
      </c>
      <c r="C70" s="246" t="s">
        <v>1199</v>
      </c>
      <c r="D70" s="247" t="s">
        <v>1193</v>
      </c>
      <c r="E70" s="248"/>
      <c r="F70" s="248" t="n">
        <v>51.49</v>
      </c>
      <c r="G70" s="249"/>
      <c r="H70" s="249"/>
      <c r="I70" s="249" t="n">
        <v>54.85</v>
      </c>
      <c r="J70" s="250" t="n">
        <v>54.85</v>
      </c>
      <c r="K70" s="249"/>
      <c r="L70" s="249"/>
      <c r="M70" s="249" t="n">
        <v>3.36</v>
      </c>
      <c r="N70" s="251" t="n">
        <v>-4.44089209850063E-016</v>
      </c>
      <c r="O70" s="252"/>
      <c r="P70" s="253"/>
      <c r="Q70" s="220"/>
      <c r="R70" s="251"/>
      <c r="S70" s="252"/>
      <c r="T70" s="254" t="n">
        <v>0</v>
      </c>
      <c r="U70" s="251"/>
      <c r="V70" s="252"/>
      <c r="W70" s="255" t="n">
        <v>0</v>
      </c>
      <c r="X70" s="250"/>
      <c r="Y70" s="256"/>
    </row>
    <row r="71" customFormat="false" ht="12.5" hidden="false" customHeight="true" outlineLevel="0" collapsed="false">
      <c r="A71" s="210" t="s">
        <v>1103</v>
      </c>
      <c r="B71" s="211" t="s">
        <v>1121</v>
      </c>
      <c r="C71" s="246" t="s">
        <v>1200</v>
      </c>
      <c r="D71" s="247" t="s">
        <v>1195</v>
      </c>
      <c r="E71" s="248" t="n">
        <v>-7.3</v>
      </c>
      <c r="F71" s="248" t="n">
        <v>2545.1</v>
      </c>
      <c r="G71" s="249" t="n">
        <v>2957</v>
      </c>
      <c r="H71" s="249"/>
      <c r="I71" s="249" t="n">
        <v>2575.53</v>
      </c>
      <c r="J71" s="250" t="n">
        <v>-381.47</v>
      </c>
      <c r="K71" s="249"/>
      <c r="L71" s="249"/>
      <c r="M71" s="249" t="n">
        <v>-123.98</v>
      </c>
      <c r="N71" s="251" t="n">
        <v>147.11</v>
      </c>
      <c r="O71" s="252" t="n">
        <v>79.25</v>
      </c>
      <c r="P71" s="253" t="n">
        <v>68</v>
      </c>
      <c r="Q71" s="220"/>
      <c r="R71" s="251" t="n">
        <v>399</v>
      </c>
      <c r="S71" s="252" t="n">
        <v>79</v>
      </c>
      <c r="T71" s="254" t="n">
        <v>7.39</v>
      </c>
      <c r="U71" s="251" t="n">
        <v>498</v>
      </c>
      <c r="V71" s="252"/>
      <c r="W71" s="255" t="n">
        <v>6.87</v>
      </c>
      <c r="X71" s="250" t="n">
        <v>99</v>
      </c>
      <c r="Y71" s="256" t="n">
        <v>99</v>
      </c>
    </row>
    <row r="72" customFormat="false" ht="12.5" hidden="false" customHeight="true" outlineLevel="0" collapsed="false">
      <c r="A72" s="210" t="s">
        <v>1103</v>
      </c>
      <c r="B72" s="211" t="s">
        <v>1121</v>
      </c>
      <c r="C72" s="246" t="s">
        <v>1201</v>
      </c>
      <c r="D72" s="247" t="s">
        <v>1197</v>
      </c>
      <c r="E72" s="248"/>
      <c r="F72" s="248" t="n">
        <v>3775.63</v>
      </c>
      <c r="G72" s="249" t="n">
        <v>3698</v>
      </c>
      <c r="H72" s="249" t="n">
        <v>-17.89</v>
      </c>
      <c r="I72" s="249" t="n">
        <v>3837.62</v>
      </c>
      <c r="J72" s="250" t="n">
        <v>157.51</v>
      </c>
      <c r="K72" s="249"/>
      <c r="L72" s="249"/>
      <c r="M72" s="249" t="n">
        <v>21.63</v>
      </c>
      <c r="N72" s="251" t="n">
        <v>58.2499999999997</v>
      </c>
      <c r="O72" s="252" t="n">
        <v>-17.41</v>
      </c>
      <c r="P72" s="253" t="n">
        <v>76</v>
      </c>
      <c r="Q72" s="220"/>
      <c r="R72" s="251" t="n">
        <v>571</v>
      </c>
      <c r="S72" s="252" t="n">
        <v>89</v>
      </c>
      <c r="T72" s="254" t="n">
        <v>8.22</v>
      </c>
      <c r="U72" s="251" t="n">
        <v>571</v>
      </c>
      <c r="V72" s="252"/>
      <c r="W72" s="255" t="n">
        <v>6.63</v>
      </c>
      <c r="X72" s="250"/>
      <c r="Y72" s="256"/>
    </row>
    <row r="73" customFormat="false" ht="12.5" hidden="false" customHeight="true" outlineLevel="0" collapsed="false">
      <c r="A73" s="210" t="s">
        <v>18</v>
      </c>
      <c r="B73" s="211" t="s">
        <v>1121</v>
      </c>
      <c r="C73" s="224" t="s">
        <v>1202</v>
      </c>
      <c r="D73" s="225" t="s">
        <v>1203</v>
      </c>
      <c r="E73" s="226" t="n">
        <v>1</v>
      </c>
      <c r="F73" s="226" t="n">
        <v>1460.05</v>
      </c>
      <c r="G73" s="227" t="n">
        <v>1472</v>
      </c>
      <c r="H73" s="227" t="n">
        <v>5</v>
      </c>
      <c r="I73" s="227" t="n">
        <v>1471.82</v>
      </c>
      <c r="J73" s="228" t="n">
        <v>-5.17999999999994</v>
      </c>
      <c r="K73" s="227"/>
      <c r="L73" s="227"/>
      <c r="M73" s="227"/>
      <c r="N73" s="229" t="n">
        <v>7.77000000000002</v>
      </c>
      <c r="O73" s="230" t="n">
        <v>74.51</v>
      </c>
      <c r="P73" s="231" t="n">
        <v>-67</v>
      </c>
      <c r="Q73" s="220"/>
      <c r="R73" s="229" t="n">
        <v>386.71</v>
      </c>
      <c r="S73" s="230" t="n">
        <v>8</v>
      </c>
      <c r="T73" s="232"/>
      <c r="U73" s="229" t="n">
        <v>401.71</v>
      </c>
      <c r="V73" s="230"/>
      <c r="W73" s="233"/>
      <c r="X73" s="228" t="n">
        <v>15</v>
      </c>
      <c r="Y73" s="234" t="n">
        <v>19</v>
      </c>
    </row>
    <row r="74" customFormat="false" ht="12.5" hidden="false" customHeight="true" outlineLevel="0" collapsed="false">
      <c r="A74" s="210" t="s">
        <v>20</v>
      </c>
      <c r="B74" s="211" t="s">
        <v>1121</v>
      </c>
      <c r="C74" s="235" t="n">
        <v>209</v>
      </c>
      <c r="D74" s="236" t="s">
        <v>1204</v>
      </c>
      <c r="E74" s="237" t="n">
        <v>1</v>
      </c>
      <c r="F74" s="237" t="n">
        <v>1460.05</v>
      </c>
      <c r="G74" s="238" t="n">
        <v>1472</v>
      </c>
      <c r="H74" s="238" t="n">
        <v>5</v>
      </c>
      <c r="I74" s="238" t="n">
        <v>1471.82</v>
      </c>
      <c r="J74" s="239" t="n">
        <v>-5.17999999999994</v>
      </c>
      <c r="K74" s="238"/>
      <c r="L74" s="238"/>
      <c r="M74" s="238"/>
      <c r="N74" s="240" t="n">
        <v>7.77000000000002</v>
      </c>
      <c r="O74" s="241" t="n">
        <v>74.51</v>
      </c>
      <c r="P74" s="242" t="n">
        <v>-67</v>
      </c>
      <c r="Q74" s="220"/>
      <c r="R74" s="240" t="n">
        <v>386.71</v>
      </c>
      <c r="S74" s="241" t="n">
        <v>8</v>
      </c>
      <c r="T74" s="243"/>
      <c r="U74" s="240" t="n">
        <v>401.71</v>
      </c>
      <c r="V74" s="241"/>
      <c r="W74" s="244"/>
      <c r="X74" s="239" t="n">
        <v>15</v>
      </c>
      <c r="Y74" s="245" t="n">
        <v>19</v>
      </c>
    </row>
    <row r="75" customFormat="false" ht="12.5" hidden="false" customHeight="true" outlineLevel="0" collapsed="false">
      <c r="A75" s="210" t="s">
        <v>1103</v>
      </c>
      <c r="B75" s="211" t="s">
        <v>1121</v>
      </c>
      <c r="C75" s="246" t="s">
        <v>1205</v>
      </c>
      <c r="D75" s="247" t="s">
        <v>1127</v>
      </c>
      <c r="E75" s="248"/>
      <c r="F75" s="248" t="n">
        <v>170.03</v>
      </c>
      <c r="G75" s="249" t="n">
        <v>156.92</v>
      </c>
      <c r="H75" s="249" t="n">
        <v>5</v>
      </c>
      <c r="I75" s="249" t="n">
        <v>170.86</v>
      </c>
      <c r="J75" s="250" t="n">
        <v>8.94000000000003</v>
      </c>
      <c r="K75" s="249"/>
      <c r="L75" s="249"/>
      <c r="M75" s="249"/>
      <c r="N75" s="251" t="n">
        <v>-4.16999999999999</v>
      </c>
      <c r="O75" s="252" t="n">
        <v>12.66</v>
      </c>
      <c r="P75" s="253" t="n">
        <v>-17</v>
      </c>
      <c r="Q75" s="220"/>
      <c r="R75" s="251" t="n">
        <v>54.25</v>
      </c>
      <c r="S75" s="252" t="n">
        <v>8</v>
      </c>
      <c r="T75" s="254" t="n">
        <v>6.53</v>
      </c>
      <c r="U75" s="251" t="n">
        <v>37.25</v>
      </c>
      <c r="V75" s="252"/>
      <c r="W75" s="255" t="n">
        <v>9</v>
      </c>
      <c r="X75" s="250" t="n">
        <v>-17</v>
      </c>
      <c r="Y75" s="256" t="n">
        <v>2</v>
      </c>
    </row>
    <row r="76" customFormat="false" ht="12.5" hidden="false" customHeight="true" outlineLevel="0" collapsed="false">
      <c r="A76" s="210" t="s">
        <v>1103</v>
      </c>
      <c r="B76" s="211" t="s">
        <v>1121</v>
      </c>
      <c r="C76" s="246" t="s">
        <v>1206</v>
      </c>
      <c r="D76" s="247" t="s">
        <v>1129</v>
      </c>
      <c r="E76" s="248"/>
      <c r="F76" s="248" t="n">
        <v>90.06</v>
      </c>
      <c r="G76" s="249" t="n">
        <v>89.97</v>
      </c>
      <c r="H76" s="249"/>
      <c r="I76" s="249" t="n">
        <v>90.73</v>
      </c>
      <c r="J76" s="250" t="n">
        <v>0.760000000000005</v>
      </c>
      <c r="K76" s="249"/>
      <c r="L76" s="249"/>
      <c r="M76" s="249"/>
      <c r="N76" s="251" t="n">
        <v>0.670000000000002</v>
      </c>
      <c r="O76" s="252" t="n">
        <v>1.65</v>
      </c>
      <c r="P76" s="253" t="n">
        <v>-1</v>
      </c>
      <c r="Q76" s="220"/>
      <c r="R76" s="251" t="n">
        <v>17.14</v>
      </c>
      <c r="S76" s="252"/>
      <c r="T76" s="254" t="n">
        <v>7</v>
      </c>
      <c r="U76" s="251" t="n">
        <v>21.14</v>
      </c>
      <c r="V76" s="252"/>
      <c r="W76" s="255" t="n">
        <v>8.69</v>
      </c>
      <c r="X76" s="250" t="n">
        <v>4</v>
      </c>
      <c r="Y76" s="256" t="n">
        <v>2</v>
      </c>
    </row>
    <row r="77" customFormat="false" ht="12.5" hidden="false" customHeight="true" outlineLevel="0" collapsed="false">
      <c r="A77" s="210" t="s">
        <v>1103</v>
      </c>
      <c r="B77" s="211" t="s">
        <v>1121</v>
      </c>
      <c r="C77" s="246" t="s">
        <v>1207</v>
      </c>
      <c r="D77" s="247" t="s">
        <v>1131</v>
      </c>
      <c r="E77" s="248" t="n">
        <v>1</v>
      </c>
      <c r="F77" s="248" t="n">
        <v>1009.9</v>
      </c>
      <c r="G77" s="249" t="n">
        <v>1022.91</v>
      </c>
      <c r="H77" s="249"/>
      <c r="I77" s="249" t="n">
        <v>1006.65</v>
      </c>
      <c r="J77" s="250" t="n">
        <v>-16.26</v>
      </c>
      <c r="K77" s="249"/>
      <c r="L77" s="249"/>
      <c r="M77" s="249" t="n">
        <v>-0.01</v>
      </c>
      <c r="N77" s="251" t="n">
        <v>-2.24</v>
      </c>
      <c r="O77" s="252" t="n">
        <v>52.81</v>
      </c>
      <c r="P77" s="253" t="n">
        <v>-55</v>
      </c>
      <c r="Q77" s="220"/>
      <c r="R77" s="251" t="n">
        <v>298.99</v>
      </c>
      <c r="S77" s="252"/>
      <c r="T77" s="254" t="n">
        <v>6.66</v>
      </c>
      <c r="U77" s="251" t="n">
        <v>307.99</v>
      </c>
      <c r="V77" s="252"/>
      <c r="W77" s="255" t="n">
        <v>8.99</v>
      </c>
      <c r="X77" s="250" t="n">
        <v>9</v>
      </c>
      <c r="Y77" s="256" t="n">
        <v>15</v>
      </c>
    </row>
    <row r="78" customFormat="false" ht="12.5" hidden="false" customHeight="true" outlineLevel="0" collapsed="false">
      <c r="A78" s="210" t="s">
        <v>1103</v>
      </c>
      <c r="B78" s="211" t="s">
        <v>1121</v>
      </c>
      <c r="C78" s="246" t="s">
        <v>1208</v>
      </c>
      <c r="D78" s="247" t="s">
        <v>1134</v>
      </c>
      <c r="E78" s="248"/>
      <c r="F78" s="248" t="n">
        <v>190.06</v>
      </c>
      <c r="G78" s="249" t="n">
        <v>202.2</v>
      </c>
      <c r="H78" s="249"/>
      <c r="I78" s="249" t="n">
        <v>203.58</v>
      </c>
      <c r="J78" s="250" t="n">
        <v>1.38000000000002</v>
      </c>
      <c r="K78" s="249"/>
      <c r="L78" s="249"/>
      <c r="M78" s="249" t="n">
        <v>0.01</v>
      </c>
      <c r="N78" s="251" t="n">
        <v>13.51</v>
      </c>
      <c r="O78" s="252" t="n">
        <v>7.39</v>
      </c>
      <c r="P78" s="253" t="n">
        <v>6</v>
      </c>
      <c r="Q78" s="220"/>
      <c r="R78" s="251" t="n">
        <v>16.33</v>
      </c>
      <c r="S78" s="252"/>
      <c r="T78" s="254" t="n">
        <v>8.5</v>
      </c>
      <c r="U78" s="251" t="n">
        <v>35.33</v>
      </c>
      <c r="V78" s="252"/>
      <c r="W78" s="255" t="n">
        <v>8.84</v>
      </c>
      <c r="X78" s="250" t="n">
        <v>19</v>
      </c>
      <c r="Y78" s="256"/>
    </row>
    <row r="79" customFormat="false" ht="12.5" hidden="false" customHeight="true" outlineLevel="0" collapsed="false">
      <c r="A79" s="210" t="s">
        <v>18</v>
      </c>
      <c r="B79" s="211" t="s">
        <v>1121</v>
      </c>
      <c r="C79" s="224" t="s">
        <v>1209</v>
      </c>
      <c r="D79" s="225" t="s">
        <v>1210</v>
      </c>
      <c r="E79" s="226"/>
      <c r="F79" s="226" t="n">
        <v>16.55</v>
      </c>
      <c r="G79" s="227" t="n">
        <v>17</v>
      </c>
      <c r="H79" s="227"/>
      <c r="I79" s="227" t="n">
        <v>16.53</v>
      </c>
      <c r="J79" s="228" t="n">
        <v>-0.470000000000001</v>
      </c>
      <c r="K79" s="227"/>
      <c r="L79" s="227"/>
      <c r="M79" s="227" t="n">
        <v>0.45</v>
      </c>
      <c r="N79" s="229" t="n">
        <v>-0.47</v>
      </c>
      <c r="O79" s="230" t="n">
        <v>0.03</v>
      </c>
      <c r="P79" s="231"/>
      <c r="Q79" s="220"/>
      <c r="R79" s="229" t="n">
        <v>2</v>
      </c>
      <c r="S79" s="230"/>
      <c r="T79" s="232"/>
      <c r="U79" s="229" t="n">
        <v>3</v>
      </c>
      <c r="V79" s="230"/>
      <c r="W79" s="233"/>
      <c r="X79" s="228" t="n">
        <v>1</v>
      </c>
      <c r="Y79" s="234" t="n">
        <v>1</v>
      </c>
    </row>
    <row r="80" customFormat="false" ht="12.5" hidden="false" customHeight="true" outlineLevel="0" collapsed="false">
      <c r="A80" s="210" t="s">
        <v>20</v>
      </c>
      <c r="B80" s="211" t="s">
        <v>1121</v>
      </c>
      <c r="C80" s="235" t="n">
        <v>158</v>
      </c>
      <c r="D80" s="236" t="s">
        <v>1211</v>
      </c>
      <c r="E80" s="237"/>
      <c r="F80" s="237" t="n">
        <v>16.55</v>
      </c>
      <c r="G80" s="238" t="n">
        <v>17</v>
      </c>
      <c r="H80" s="238"/>
      <c r="I80" s="238" t="n">
        <v>16.53</v>
      </c>
      <c r="J80" s="239" t="n">
        <v>-0.470000000000001</v>
      </c>
      <c r="K80" s="238"/>
      <c r="L80" s="238"/>
      <c r="M80" s="238" t="n">
        <v>0.45</v>
      </c>
      <c r="N80" s="240" t="n">
        <v>-0.47</v>
      </c>
      <c r="O80" s="241" t="n">
        <v>0.03</v>
      </c>
      <c r="P80" s="242"/>
      <c r="Q80" s="220"/>
      <c r="R80" s="240" t="n">
        <v>2</v>
      </c>
      <c r="S80" s="241"/>
      <c r="T80" s="243"/>
      <c r="U80" s="240" t="n">
        <v>3</v>
      </c>
      <c r="V80" s="241"/>
      <c r="W80" s="244"/>
      <c r="X80" s="239" t="n">
        <v>1</v>
      </c>
      <c r="Y80" s="245" t="n">
        <v>1</v>
      </c>
    </row>
    <row r="81" customFormat="false" ht="12.5" hidden="false" customHeight="true" outlineLevel="0" collapsed="false">
      <c r="A81" s="210" t="s">
        <v>1103</v>
      </c>
      <c r="B81" s="211" t="s">
        <v>1121</v>
      </c>
      <c r="C81" s="246" t="s">
        <v>1212</v>
      </c>
      <c r="D81" s="247" t="s">
        <v>1060</v>
      </c>
      <c r="E81" s="248"/>
      <c r="F81" s="248" t="n">
        <v>4.63</v>
      </c>
      <c r="G81" s="249" t="n">
        <v>7</v>
      </c>
      <c r="H81" s="249"/>
      <c r="I81" s="249" t="n">
        <v>4.8</v>
      </c>
      <c r="J81" s="250" t="n">
        <v>-2.2</v>
      </c>
      <c r="K81" s="249"/>
      <c r="L81" s="249"/>
      <c r="M81" s="249"/>
      <c r="N81" s="251" t="n">
        <v>0.17</v>
      </c>
      <c r="O81" s="252" t="n">
        <v>0.17</v>
      </c>
      <c r="P81" s="253"/>
      <c r="Q81" s="220"/>
      <c r="R81" s="251"/>
      <c r="S81" s="252"/>
      <c r="T81" s="254" t="n">
        <v>0</v>
      </c>
      <c r="U81" s="251"/>
      <c r="V81" s="252"/>
      <c r="W81" s="255" t="n">
        <v>0</v>
      </c>
      <c r="X81" s="250"/>
      <c r="Y81" s="256" t="n">
        <v>1</v>
      </c>
    </row>
    <row r="82" customFormat="false" ht="12.5" hidden="false" customHeight="true" outlineLevel="0" collapsed="false">
      <c r="A82" s="210" t="s">
        <v>1103</v>
      </c>
      <c r="B82" s="211" t="s">
        <v>1121</v>
      </c>
      <c r="C82" s="246" t="s">
        <v>1213</v>
      </c>
      <c r="D82" s="247" t="s">
        <v>1061</v>
      </c>
      <c r="E82" s="248"/>
      <c r="F82" s="248" t="n">
        <v>3.8</v>
      </c>
      <c r="G82" s="249" t="n">
        <v>4</v>
      </c>
      <c r="H82" s="249"/>
      <c r="I82" s="249" t="n">
        <v>3.8</v>
      </c>
      <c r="J82" s="250" t="n">
        <v>-0.2</v>
      </c>
      <c r="K82" s="249"/>
      <c r="L82" s="249"/>
      <c r="M82" s="249"/>
      <c r="N82" s="251"/>
      <c r="O82" s="252"/>
      <c r="P82" s="253"/>
      <c r="Q82" s="220"/>
      <c r="R82" s="251"/>
      <c r="S82" s="252"/>
      <c r="T82" s="254" t="n">
        <v>0</v>
      </c>
      <c r="U82" s="251"/>
      <c r="V82" s="252"/>
      <c r="W82" s="255" t="n">
        <v>0</v>
      </c>
      <c r="X82" s="250"/>
      <c r="Y82" s="256"/>
    </row>
    <row r="83" customFormat="false" ht="12.5" hidden="false" customHeight="true" outlineLevel="0" collapsed="false">
      <c r="A83" s="210" t="s">
        <v>1103</v>
      </c>
      <c r="B83" s="211" t="s">
        <v>1121</v>
      </c>
      <c r="C83" s="246" t="s">
        <v>1214</v>
      </c>
      <c r="D83" s="247" t="s">
        <v>1062</v>
      </c>
      <c r="E83" s="248"/>
      <c r="F83" s="248" t="n">
        <v>2</v>
      </c>
      <c r="G83" s="249" t="n">
        <v>2</v>
      </c>
      <c r="H83" s="249"/>
      <c r="I83" s="249" t="n">
        <v>2</v>
      </c>
      <c r="J83" s="250"/>
      <c r="K83" s="249"/>
      <c r="L83" s="249"/>
      <c r="M83" s="249"/>
      <c r="N83" s="251"/>
      <c r="O83" s="252"/>
      <c r="P83" s="253"/>
      <c r="Q83" s="220"/>
      <c r="R83" s="251"/>
      <c r="S83" s="252"/>
      <c r="T83" s="254" t="n">
        <v>0</v>
      </c>
      <c r="U83" s="251"/>
      <c r="V83" s="252"/>
      <c r="W83" s="255" t="n">
        <v>0</v>
      </c>
      <c r="X83" s="250"/>
      <c r="Y83" s="256"/>
    </row>
    <row r="84" customFormat="false" ht="12.5" hidden="false" customHeight="true" outlineLevel="0" collapsed="false">
      <c r="A84" s="210" t="s">
        <v>1103</v>
      </c>
      <c r="B84" s="211" t="s">
        <v>1121</v>
      </c>
      <c r="C84" s="246" t="s">
        <v>1215</v>
      </c>
      <c r="D84" s="247" t="s">
        <v>985</v>
      </c>
      <c r="E84" s="248"/>
      <c r="F84" s="248" t="n">
        <v>6.12</v>
      </c>
      <c r="G84" s="249" t="n">
        <v>4</v>
      </c>
      <c r="H84" s="249"/>
      <c r="I84" s="249" t="n">
        <v>5.93</v>
      </c>
      <c r="J84" s="250" t="n">
        <v>1.93</v>
      </c>
      <c r="K84" s="249"/>
      <c r="L84" s="249"/>
      <c r="M84" s="249" t="n">
        <v>0.45</v>
      </c>
      <c r="N84" s="251" t="n">
        <v>-0.64</v>
      </c>
      <c r="O84" s="252" t="n">
        <v>-0.14</v>
      </c>
      <c r="P84" s="253"/>
      <c r="Q84" s="220"/>
      <c r="R84" s="251" t="n">
        <v>2</v>
      </c>
      <c r="S84" s="252"/>
      <c r="T84" s="254" t="n">
        <v>7.6</v>
      </c>
      <c r="U84" s="251" t="n">
        <v>3</v>
      </c>
      <c r="V84" s="252"/>
      <c r="W84" s="255" t="n">
        <v>11.4</v>
      </c>
      <c r="X84" s="250" t="n">
        <v>1</v>
      </c>
      <c r="Y84" s="256"/>
    </row>
    <row r="85" customFormat="false" ht="12.5" hidden="false" customHeight="true" outlineLevel="0" collapsed="false">
      <c r="A85" s="210" t="s">
        <v>18</v>
      </c>
      <c r="B85" s="211" t="s">
        <v>1121</v>
      </c>
      <c r="C85" s="224" t="s">
        <v>1216</v>
      </c>
      <c r="D85" s="225" t="s">
        <v>1217</v>
      </c>
      <c r="E85" s="226" t="n">
        <v>-249.25</v>
      </c>
      <c r="F85" s="226"/>
      <c r="G85" s="227" t="n">
        <v>391</v>
      </c>
      <c r="H85" s="227" t="n">
        <v>-249.37</v>
      </c>
      <c r="I85" s="227" t="n">
        <v>62.38</v>
      </c>
      <c r="J85" s="228" t="n">
        <v>-79.25</v>
      </c>
      <c r="K85" s="227"/>
      <c r="L85" s="227"/>
      <c r="M85" s="227" t="n">
        <v>62.5</v>
      </c>
      <c r="N85" s="229"/>
      <c r="O85" s="230"/>
      <c r="P85" s="231"/>
      <c r="Q85" s="220"/>
      <c r="R85" s="229"/>
      <c r="S85" s="230"/>
      <c r="T85" s="232"/>
      <c r="U85" s="229"/>
      <c r="V85" s="230"/>
      <c r="W85" s="233"/>
      <c r="X85" s="228"/>
      <c r="Y85" s="234" t="n">
        <v>100</v>
      </c>
    </row>
    <row r="86" customFormat="false" ht="12.5" hidden="false" customHeight="true" outlineLevel="0" collapsed="false">
      <c r="A86" s="210" t="s">
        <v>20</v>
      </c>
      <c r="B86" s="211" t="s">
        <v>1121</v>
      </c>
      <c r="C86" s="235" t="n">
        <v>112</v>
      </c>
      <c r="D86" s="236" t="s">
        <v>1218</v>
      </c>
      <c r="E86" s="237"/>
      <c r="F86" s="237"/>
      <c r="G86" s="238" t="n">
        <v>100</v>
      </c>
      <c r="H86" s="238" t="n">
        <v>-7</v>
      </c>
      <c r="I86" s="238" t="n">
        <v>61.91</v>
      </c>
      <c r="J86" s="239" t="n">
        <v>-31.09</v>
      </c>
      <c r="K86" s="238"/>
      <c r="L86" s="238"/>
      <c r="M86" s="238" t="n">
        <v>68.91</v>
      </c>
      <c r="N86" s="240"/>
      <c r="O86" s="241"/>
      <c r="P86" s="242"/>
      <c r="Q86" s="220"/>
      <c r="R86" s="240"/>
      <c r="S86" s="241"/>
      <c r="T86" s="243"/>
      <c r="U86" s="240"/>
      <c r="V86" s="241"/>
      <c r="W86" s="244"/>
      <c r="X86" s="239"/>
      <c r="Y86" s="245" t="n">
        <v>100</v>
      </c>
    </row>
    <row r="87" customFormat="false" ht="12.5" hidden="false" customHeight="true" outlineLevel="0" collapsed="false">
      <c r="A87" s="210" t="s">
        <v>1103</v>
      </c>
      <c r="B87" s="211" t="s">
        <v>1121</v>
      </c>
      <c r="C87" s="246" t="s">
        <v>1219</v>
      </c>
      <c r="D87" s="247" t="s">
        <v>1060</v>
      </c>
      <c r="E87" s="248"/>
      <c r="F87" s="248"/>
      <c r="G87" s="249" t="n">
        <v>100</v>
      </c>
      <c r="H87" s="249" t="n">
        <v>-7</v>
      </c>
      <c r="I87" s="249" t="n">
        <v>61.91</v>
      </c>
      <c r="J87" s="250" t="n">
        <v>-31.09</v>
      </c>
      <c r="K87" s="249"/>
      <c r="L87" s="249"/>
      <c r="M87" s="249" t="n">
        <v>68.91</v>
      </c>
      <c r="N87" s="251"/>
      <c r="O87" s="252"/>
      <c r="P87" s="253"/>
      <c r="Q87" s="220"/>
      <c r="R87" s="251"/>
      <c r="S87" s="252"/>
      <c r="T87" s="254" t="n">
        <v>0</v>
      </c>
      <c r="U87" s="251"/>
      <c r="V87" s="252"/>
      <c r="W87" s="255" t="n">
        <v>0</v>
      </c>
      <c r="X87" s="250"/>
      <c r="Y87" s="256" t="n">
        <v>100</v>
      </c>
    </row>
    <row r="88" customFormat="false" ht="12.5" hidden="false" customHeight="true" outlineLevel="0" collapsed="false">
      <c r="A88" s="210" t="s">
        <v>20</v>
      </c>
      <c r="B88" s="211" t="s">
        <v>1121</v>
      </c>
      <c r="C88" s="235" t="n">
        <v>147</v>
      </c>
      <c r="D88" s="236" t="s">
        <v>1220</v>
      </c>
      <c r="E88" s="237" t="n">
        <v>-249.25</v>
      </c>
      <c r="F88" s="237"/>
      <c r="G88" s="238" t="n">
        <v>291</v>
      </c>
      <c r="H88" s="238" t="n">
        <v>-242.37</v>
      </c>
      <c r="I88" s="238" t="n">
        <v>0.47</v>
      </c>
      <c r="J88" s="239" t="n">
        <v>-48.16</v>
      </c>
      <c r="K88" s="238"/>
      <c r="L88" s="238"/>
      <c r="M88" s="238" t="n">
        <v>-6.41</v>
      </c>
      <c r="N88" s="240"/>
      <c r="O88" s="241"/>
      <c r="P88" s="242"/>
      <c r="Q88" s="220"/>
      <c r="R88" s="240"/>
      <c r="S88" s="241"/>
      <c r="T88" s="243"/>
      <c r="U88" s="240"/>
      <c r="V88" s="241"/>
      <c r="W88" s="244"/>
      <c r="X88" s="239"/>
      <c r="Y88" s="245"/>
    </row>
    <row r="89" customFormat="false" ht="12.5" hidden="false" customHeight="true" outlineLevel="0" collapsed="false">
      <c r="A89" s="210" t="s">
        <v>1103</v>
      </c>
      <c r="B89" s="211" t="s">
        <v>1121</v>
      </c>
      <c r="C89" s="246" t="s">
        <v>1221</v>
      </c>
      <c r="D89" s="247" t="s">
        <v>1060</v>
      </c>
      <c r="E89" s="248" t="n">
        <v>-225</v>
      </c>
      <c r="F89" s="248"/>
      <c r="G89" s="249" t="n">
        <v>225</v>
      </c>
      <c r="H89" s="249" t="n">
        <v>-234.78</v>
      </c>
      <c r="I89" s="249" t="n">
        <v>0.47</v>
      </c>
      <c r="J89" s="250" t="n">
        <v>10.25</v>
      </c>
      <c r="K89" s="249"/>
      <c r="L89" s="249"/>
      <c r="M89" s="249" t="n">
        <v>10.25</v>
      </c>
      <c r="N89" s="251"/>
      <c r="O89" s="252"/>
      <c r="P89" s="253"/>
      <c r="Q89" s="220"/>
      <c r="R89" s="251"/>
      <c r="S89" s="252"/>
      <c r="T89" s="254" t="n">
        <v>0</v>
      </c>
      <c r="U89" s="251"/>
      <c r="V89" s="252"/>
      <c r="W89" s="255" t="n">
        <v>0</v>
      </c>
      <c r="X89" s="250"/>
      <c r="Y89" s="256"/>
    </row>
    <row r="90" customFormat="false" ht="12.5" hidden="false" customHeight="true" outlineLevel="0" collapsed="false">
      <c r="A90" s="210" t="s">
        <v>1103</v>
      </c>
      <c r="B90" s="211" t="s">
        <v>1121</v>
      </c>
      <c r="C90" s="246" t="s">
        <v>1222</v>
      </c>
      <c r="D90" s="247" t="s">
        <v>1061</v>
      </c>
      <c r="E90" s="248" t="n">
        <v>-24.25</v>
      </c>
      <c r="F90" s="248"/>
      <c r="G90" s="249" t="n">
        <v>66</v>
      </c>
      <c r="H90" s="249" t="n">
        <v>-7.59</v>
      </c>
      <c r="I90" s="249"/>
      <c r="J90" s="250" t="n">
        <v>-58.41</v>
      </c>
      <c r="K90" s="249"/>
      <c r="L90" s="249"/>
      <c r="M90" s="249" t="n">
        <v>-16.66</v>
      </c>
      <c r="N90" s="251"/>
      <c r="O90" s="252"/>
      <c r="P90" s="253"/>
      <c r="Q90" s="220"/>
      <c r="R90" s="251"/>
      <c r="S90" s="252"/>
      <c r="T90" s="254" t="n">
        <v>0</v>
      </c>
      <c r="U90" s="251"/>
      <c r="V90" s="252"/>
      <c r="W90" s="255" t="n">
        <v>0</v>
      </c>
      <c r="X90" s="250"/>
      <c r="Y90" s="256"/>
    </row>
    <row r="91" customFormat="false" ht="12.5" hidden="false" customHeight="true" outlineLevel="0" collapsed="false">
      <c r="A91" s="210" t="s">
        <v>18</v>
      </c>
      <c r="B91" s="211" t="s">
        <v>1121</v>
      </c>
      <c r="C91" s="224" t="s">
        <v>1223</v>
      </c>
      <c r="D91" s="225" t="s">
        <v>1224</v>
      </c>
      <c r="E91" s="226" t="n">
        <v>1</v>
      </c>
      <c r="F91" s="226" t="n">
        <v>6178.82</v>
      </c>
      <c r="G91" s="227" t="n">
        <v>6483.76</v>
      </c>
      <c r="H91" s="227" t="n">
        <v>-21.5</v>
      </c>
      <c r="I91" s="227" t="n">
        <v>6400.9</v>
      </c>
      <c r="J91" s="228" t="n">
        <v>-61.36</v>
      </c>
      <c r="K91" s="227"/>
      <c r="L91" s="227" t="n">
        <v>143</v>
      </c>
      <c r="M91" s="227" t="n">
        <v>2.65</v>
      </c>
      <c r="N91" s="229" t="n">
        <v>98.93</v>
      </c>
      <c r="O91" s="230" t="n">
        <v>41.13</v>
      </c>
      <c r="P91" s="231" t="n">
        <v>59</v>
      </c>
      <c r="Q91" s="220"/>
      <c r="R91" s="229" t="n">
        <v>1265.6</v>
      </c>
      <c r="S91" s="230" t="n">
        <v>161.2</v>
      </c>
      <c r="T91" s="232"/>
      <c r="U91" s="229" t="n">
        <v>1325.1</v>
      </c>
      <c r="V91" s="230" t="n">
        <v>336.2</v>
      </c>
      <c r="W91" s="233"/>
      <c r="X91" s="228" t="n">
        <v>59.5</v>
      </c>
      <c r="Y91" s="234" t="n">
        <v>42</v>
      </c>
    </row>
    <row r="92" customFormat="false" ht="12.5" hidden="false" customHeight="true" outlineLevel="0" collapsed="false">
      <c r="A92" s="210" t="s">
        <v>20</v>
      </c>
      <c r="B92" s="211" t="s">
        <v>1121</v>
      </c>
      <c r="C92" s="235" t="n">
        <v>165</v>
      </c>
      <c r="D92" s="236" t="s">
        <v>1225</v>
      </c>
      <c r="E92" s="237" t="n">
        <v>1</v>
      </c>
      <c r="F92" s="237" t="n">
        <v>4260.64</v>
      </c>
      <c r="G92" s="238" t="n">
        <v>4503</v>
      </c>
      <c r="H92" s="238" t="n">
        <v>-16.5</v>
      </c>
      <c r="I92" s="238" t="n">
        <v>4447.35</v>
      </c>
      <c r="J92" s="239" t="n">
        <v>-39.15</v>
      </c>
      <c r="K92" s="238"/>
      <c r="L92" s="238" t="n">
        <v>143</v>
      </c>
      <c r="M92" s="238"/>
      <c r="N92" s="240" t="n">
        <v>61.21</v>
      </c>
      <c r="O92" s="241" t="n">
        <v>16.96</v>
      </c>
      <c r="P92" s="242" t="n">
        <v>44</v>
      </c>
      <c r="Q92" s="220"/>
      <c r="R92" s="240" t="n">
        <v>980.2</v>
      </c>
      <c r="S92" s="241" t="n">
        <v>99.8</v>
      </c>
      <c r="T92" s="243"/>
      <c r="U92" s="240" t="n">
        <v>1024.8</v>
      </c>
      <c r="V92" s="241" t="n">
        <v>271.8</v>
      </c>
      <c r="W92" s="244"/>
      <c r="X92" s="239" t="n">
        <v>44.6</v>
      </c>
      <c r="Y92" s="245" t="n">
        <v>41</v>
      </c>
    </row>
    <row r="93" customFormat="false" ht="12.5" hidden="false" customHeight="true" outlineLevel="0" collapsed="false">
      <c r="A93" s="210" t="s">
        <v>1103</v>
      </c>
      <c r="B93" s="211" t="s">
        <v>1121</v>
      </c>
      <c r="C93" s="246" t="s">
        <v>1226</v>
      </c>
      <c r="D93" s="247" t="s">
        <v>1227</v>
      </c>
      <c r="E93" s="248"/>
      <c r="F93" s="248" t="n">
        <v>230.51</v>
      </c>
      <c r="G93" s="249" t="n">
        <v>235.77</v>
      </c>
      <c r="H93" s="249"/>
      <c r="I93" s="249" t="n">
        <v>232.99</v>
      </c>
      <c r="J93" s="250" t="n">
        <v>-2.78</v>
      </c>
      <c r="K93" s="249"/>
      <c r="L93" s="249"/>
      <c r="M93" s="249"/>
      <c r="N93" s="251" t="n">
        <v>2.48000000000002</v>
      </c>
      <c r="O93" s="252" t="n">
        <v>-4.6</v>
      </c>
      <c r="P93" s="253" t="n">
        <v>7</v>
      </c>
      <c r="Q93" s="220"/>
      <c r="R93" s="251" t="n">
        <v>46</v>
      </c>
      <c r="S93" s="252" t="n">
        <v>13</v>
      </c>
      <c r="T93" s="254" t="n">
        <v>6.81</v>
      </c>
      <c r="U93" s="251" t="n">
        <v>51</v>
      </c>
      <c r="V93" s="252" t="n">
        <v>11</v>
      </c>
      <c r="W93" s="255" t="n">
        <v>5.75</v>
      </c>
      <c r="X93" s="250" t="n">
        <v>5</v>
      </c>
      <c r="Y93" s="256" t="n">
        <v>1</v>
      </c>
    </row>
    <row r="94" customFormat="false" ht="12.5" hidden="false" customHeight="true" outlineLevel="0" collapsed="false">
      <c r="A94" s="210" t="s">
        <v>1103</v>
      </c>
      <c r="B94" s="211" t="s">
        <v>1121</v>
      </c>
      <c r="C94" s="246" t="s">
        <v>1228</v>
      </c>
      <c r="D94" s="247" t="s">
        <v>1229</v>
      </c>
      <c r="E94" s="248"/>
      <c r="F94" s="248" t="n">
        <v>1267.72</v>
      </c>
      <c r="G94" s="249" t="n">
        <v>1328.69</v>
      </c>
      <c r="H94" s="249"/>
      <c r="I94" s="249" t="n">
        <v>1313.91</v>
      </c>
      <c r="J94" s="250" t="n">
        <v>-14.78</v>
      </c>
      <c r="K94" s="249"/>
      <c r="L94" s="249"/>
      <c r="M94" s="249"/>
      <c r="N94" s="251" t="n">
        <v>46.1900000000001</v>
      </c>
      <c r="O94" s="252" t="n">
        <v>9.14</v>
      </c>
      <c r="P94" s="253" t="n">
        <v>37</v>
      </c>
      <c r="Q94" s="220"/>
      <c r="R94" s="251" t="n">
        <v>172.9</v>
      </c>
      <c r="S94" s="252" t="n">
        <v>39</v>
      </c>
      <c r="T94" s="254" t="n">
        <v>5.99</v>
      </c>
      <c r="U94" s="251" t="n">
        <v>211.3</v>
      </c>
      <c r="V94" s="252" t="n">
        <v>70</v>
      </c>
      <c r="W94" s="255" t="n">
        <v>5.16</v>
      </c>
      <c r="X94" s="250" t="n">
        <v>38.4</v>
      </c>
      <c r="Y94" s="256" t="n">
        <v>25</v>
      </c>
    </row>
    <row r="95" customFormat="false" ht="12.5" hidden="false" customHeight="true" outlineLevel="0" collapsed="false">
      <c r="A95" s="210" t="s">
        <v>1103</v>
      </c>
      <c r="B95" s="211" t="s">
        <v>1121</v>
      </c>
      <c r="C95" s="246" t="s">
        <v>1230</v>
      </c>
      <c r="D95" s="247" t="s">
        <v>1060</v>
      </c>
      <c r="E95" s="248" t="n">
        <v>1</v>
      </c>
      <c r="F95" s="248" t="n">
        <v>957.52</v>
      </c>
      <c r="G95" s="249" t="n">
        <v>1081.5</v>
      </c>
      <c r="H95" s="249" t="n">
        <v>0.5</v>
      </c>
      <c r="I95" s="249" t="n">
        <v>949.57</v>
      </c>
      <c r="J95" s="250" t="n">
        <v>-132.43</v>
      </c>
      <c r="K95" s="249"/>
      <c r="L95" s="249" t="n">
        <v>18</v>
      </c>
      <c r="M95" s="249"/>
      <c r="N95" s="251" t="n">
        <v>-25.4499999999999</v>
      </c>
      <c r="O95" s="252" t="n">
        <v>-76.27</v>
      </c>
      <c r="P95" s="253" t="n">
        <v>51</v>
      </c>
      <c r="Q95" s="220"/>
      <c r="R95" s="251" t="n">
        <v>295.6</v>
      </c>
      <c r="S95" s="252" t="n">
        <v>9</v>
      </c>
      <c r="T95" s="254" t="n">
        <v>7.6</v>
      </c>
      <c r="U95" s="251" t="n">
        <v>277.5</v>
      </c>
      <c r="V95" s="252" t="n">
        <v>48.8</v>
      </c>
      <c r="W95" s="255" t="n">
        <v>5.05</v>
      </c>
      <c r="X95" s="250" t="n">
        <v>-18.1</v>
      </c>
      <c r="Y95" s="256" t="n">
        <v>4</v>
      </c>
    </row>
    <row r="96" customFormat="false" ht="12.5" hidden="false" customHeight="true" outlineLevel="0" collapsed="false">
      <c r="A96" s="210" t="s">
        <v>1103</v>
      </c>
      <c r="B96" s="211" t="s">
        <v>1121</v>
      </c>
      <c r="C96" s="246" t="s">
        <v>1231</v>
      </c>
      <c r="D96" s="247" t="s">
        <v>1061</v>
      </c>
      <c r="E96" s="248"/>
      <c r="F96" s="248" t="n">
        <v>524.15</v>
      </c>
      <c r="G96" s="249" t="n">
        <v>500</v>
      </c>
      <c r="H96" s="249" t="n">
        <v>-1.5</v>
      </c>
      <c r="I96" s="249" t="n">
        <v>551.06</v>
      </c>
      <c r="J96" s="250" t="n">
        <v>52.5599999999999</v>
      </c>
      <c r="K96" s="249"/>
      <c r="L96" s="249" t="n">
        <v>30.5</v>
      </c>
      <c r="M96" s="249"/>
      <c r="N96" s="251" t="n">
        <v>-2.09000000000003</v>
      </c>
      <c r="O96" s="252" t="n">
        <v>13.07</v>
      </c>
      <c r="P96" s="253" t="n">
        <v>-15</v>
      </c>
      <c r="Q96" s="220"/>
      <c r="R96" s="251" t="n">
        <v>105</v>
      </c>
      <c r="S96" s="252" t="n">
        <v>16</v>
      </c>
      <c r="T96" s="254" t="n">
        <v>5.01</v>
      </c>
      <c r="U96" s="251" t="n">
        <v>107</v>
      </c>
      <c r="V96" s="252" t="n">
        <v>28</v>
      </c>
      <c r="W96" s="255" t="n">
        <v>6.86</v>
      </c>
      <c r="X96" s="250" t="n">
        <v>2</v>
      </c>
      <c r="Y96" s="256" t="n">
        <v>6</v>
      </c>
    </row>
    <row r="97" customFormat="false" ht="12.5" hidden="false" customHeight="true" outlineLevel="0" collapsed="false">
      <c r="A97" s="210" t="s">
        <v>1103</v>
      </c>
      <c r="B97" s="211" t="s">
        <v>1121</v>
      </c>
      <c r="C97" s="246" t="s">
        <v>1232</v>
      </c>
      <c r="D97" s="247" t="s">
        <v>1062</v>
      </c>
      <c r="E97" s="248"/>
      <c r="F97" s="248" t="n">
        <v>1280.74</v>
      </c>
      <c r="G97" s="249" t="n">
        <v>1357.04</v>
      </c>
      <c r="H97" s="249" t="n">
        <v>-15.5</v>
      </c>
      <c r="I97" s="249" t="n">
        <v>1399.82</v>
      </c>
      <c r="J97" s="250" t="n">
        <v>58.28</v>
      </c>
      <c r="K97" s="249"/>
      <c r="L97" s="249" t="n">
        <v>94.5</v>
      </c>
      <c r="M97" s="249"/>
      <c r="N97" s="251" t="n">
        <v>40.0799999999999</v>
      </c>
      <c r="O97" s="252" t="n">
        <v>75.62</v>
      </c>
      <c r="P97" s="253" t="n">
        <v>-36</v>
      </c>
      <c r="Q97" s="220"/>
      <c r="R97" s="251" t="n">
        <v>360.7</v>
      </c>
      <c r="S97" s="252" t="n">
        <v>22.8</v>
      </c>
      <c r="T97" s="254" t="n">
        <v>5.53</v>
      </c>
      <c r="U97" s="251" t="n">
        <v>378</v>
      </c>
      <c r="V97" s="252" t="n">
        <v>114</v>
      </c>
      <c r="W97" s="255" t="n">
        <v>7</v>
      </c>
      <c r="X97" s="250" t="n">
        <v>17.3</v>
      </c>
      <c r="Y97" s="256" t="n">
        <v>5</v>
      </c>
    </row>
    <row r="98" customFormat="false" ht="12.5" hidden="false" customHeight="true" outlineLevel="0" collapsed="false">
      <c r="A98" s="210" t="s">
        <v>20</v>
      </c>
      <c r="B98" s="211" t="s">
        <v>1121</v>
      </c>
      <c r="C98" s="235" t="n">
        <v>126</v>
      </c>
      <c r="D98" s="236" t="s">
        <v>1233</v>
      </c>
      <c r="E98" s="237"/>
      <c r="F98" s="237" t="n">
        <v>148.39</v>
      </c>
      <c r="G98" s="238" t="n">
        <v>154</v>
      </c>
      <c r="H98" s="238"/>
      <c r="I98" s="238" t="n">
        <v>150.7</v>
      </c>
      <c r="J98" s="239" t="n">
        <v>-3.3</v>
      </c>
      <c r="K98" s="238"/>
      <c r="L98" s="238"/>
      <c r="M98" s="238" t="n">
        <v>-2.35</v>
      </c>
      <c r="N98" s="240" t="n">
        <v>4.66</v>
      </c>
      <c r="O98" s="241" t="n">
        <v>0.99</v>
      </c>
      <c r="P98" s="242" t="n">
        <v>5</v>
      </c>
      <c r="Q98" s="220"/>
      <c r="R98" s="240" t="n">
        <v>8</v>
      </c>
      <c r="S98" s="241" t="n">
        <v>1</v>
      </c>
      <c r="T98" s="243"/>
      <c r="U98" s="240" t="n">
        <v>13</v>
      </c>
      <c r="V98" s="241"/>
      <c r="W98" s="244"/>
      <c r="X98" s="239" t="n">
        <v>5</v>
      </c>
      <c r="Y98" s="245" t="n">
        <v>1</v>
      </c>
    </row>
    <row r="99" customFormat="false" ht="12.5" hidden="false" customHeight="true" outlineLevel="0" collapsed="false">
      <c r="A99" s="210" t="s">
        <v>1103</v>
      </c>
      <c r="B99" s="211" t="s">
        <v>1121</v>
      </c>
      <c r="C99" s="246" t="s">
        <v>1234</v>
      </c>
      <c r="D99" s="247" t="s">
        <v>1235</v>
      </c>
      <c r="E99" s="248"/>
      <c r="F99" s="248" t="n">
        <v>18.7</v>
      </c>
      <c r="G99" s="249" t="n">
        <v>19</v>
      </c>
      <c r="H99" s="249"/>
      <c r="I99" s="249" t="n">
        <v>16.51</v>
      </c>
      <c r="J99" s="250" t="n">
        <v>-2.49</v>
      </c>
      <c r="K99" s="249"/>
      <c r="L99" s="249"/>
      <c r="M99" s="249" t="n">
        <v>0.06</v>
      </c>
      <c r="N99" s="251" t="n">
        <v>-2.25</v>
      </c>
      <c r="O99" s="252" t="n">
        <v>-0.75</v>
      </c>
      <c r="P99" s="253" t="n">
        <v>-1</v>
      </c>
      <c r="Q99" s="220"/>
      <c r="R99" s="251" t="n">
        <v>2</v>
      </c>
      <c r="S99" s="252"/>
      <c r="T99" s="254" t="n">
        <v>4</v>
      </c>
      <c r="U99" s="251"/>
      <c r="V99" s="252"/>
      <c r="W99" s="255" t="n">
        <v>0</v>
      </c>
      <c r="X99" s="250" t="n">
        <v>-2</v>
      </c>
      <c r="Y99" s="256" t="n">
        <v>1</v>
      </c>
    </row>
    <row r="100" customFormat="false" ht="12.5" hidden="false" customHeight="true" outlineLevel="0" collapsed="false">
      <c r="A100" s="210" t="s">
        <v>1103</v>
      </c>
      <c r="B100" s="211" t="s">
        <v>1121</v>
      </c>
      <c r="C100" s="246" t="s">
        <v>1236</v>
      </c>
      <c r="D100" s="247" t="s">
        <v>1060</v>
      </c>
      <c r="E100" s="248"/>
      <c r="F100" s="248" t="n">
        <v>33.75</v>
      </c>
      <c r="G100" s="249" t="n">
        <v>22</v>
      </c>
      <c r="H100" s="249"/>
      <c r="I100" s="249" t="n">
        <v>33.75</v>
      </c>
      <c r="J100" s="250" t="n">
        <v>11.75</v>
      </c>
      <c r="K100" s="249"/>
      <c r="L100" s="249"/>
      <c r="M100" s="249"/>
      <c r="N100" s="251"/>
      <c r="O100" s="252" t="n">
        <v>-0.67</v>
      </c>
      <c r="P100" s="253" t="n">
        <v>1</v>
      </c>
      <c r="Q100" s="220"/>
      <c r="R100" s="251" t="n">
        <v>2</v>
      </c>
      <c r="S100" s="252"/>
      <c r="T100" s="254" t="n">
        <v>11</v>
      </c>
      <c r="U100" s="251" t="n">
        <v>2</v>
      </c>
      <c r="V100" s="252"/>
      <c r="W100" s="255" t="n">
        <v>7</v>
      </c>
      <c r="X100" s="250"/>
      <c r="Y100" s="256" t="n">
        <v>1</v>
      </c>
    </row>
    <row r="101" customFormat="false" ht="12.5" hidden="false" customHeight="true" outlineLevel="0" collapsed="false">
      <c r="A101" s="210" t="s">
        <v>1103</v>
      </c>
      <c r="B101" s="211" t="s">
        <v>1121</v>
      </c>
      <c r="C101" s="246" t="s">
        <v>1237</v>
      </c>
      <c r="D101" s="247" t="s">
        <v>1061</v>
      </c>
      <c r="E101" s="248"/>
      <c r="F101" s="248" t="n">
        <v>12.69</v>
      </c>
      <c r="G101" s="249" t="n">
        <v>22</v>
      </c>
      <c r="H101" s="249"/>
      <c r="I101" s="249" t="n">
        <v>14.87</v>
      </c>
      <c r="J101" s="250" t="n">
        <v>-7.13</v>
      </c>
      <c r="K101" s="249"/>
      <c r="L101" s="249"/>
      <c r="M101" s="249" t="n">
        <v>2.68</v>
      </c>
      <c r="N101" s="251" t="n">
        <v>-0.5</v>
      </c>
      <c r="O101" s="252" t="n">
        <v>-0.67</v>
      </c>
      <c r="P101" s="253"/>
      <c r="Q101" s="220"/>
      <c r="R101" s="251"/>
      <c r="S101" s="252"/>
      <c r="T101" s="254" t="n">
        <v>0</v>
      </c>
      <c r="U101" s="251" t="n">
        <v>1</v>
      </c>
      <c r="V101" s="252"/>
      <c r="W101" s="255" t="n">
        <v>11</v>
      </c>
      <c r="X101" s="250" t="n">
        <v>1</v>
      </c>
      <c r="Y101" s="256"/>
    </row>
    <row r="102" customFormat="false" ht="12.5" hidden="false" customHeight="true" outlineLevel="0" collapsed="false">
      <c r="A102" s="210" t="s">
        <v>1103</v>
      </c>
      <c r="B102" s="211" t="s">
        <v>1121</v>
      </c>
      <c r="C102" s="246" t="s">
        <v>1238</v>
      </c>
      <c r="D102" s="247" t="s">
        <v>1062</v>
      </c>
      <c r="E102" s="248"/>
      <c r="F102" s="248" t="n">
        <v>50.55</v>
      </c>
      <c r="G102" s="249" t="n">
        <v>66</v>
      </c>
      <c r="H102" s="249"/>
      <c r="I102" s="249" t="n">
        <v>46.04</v>
      </c>
      <c r="J102" s="250" t="n">
        <v>-19.96</v>
      </c>
      <c r="K102" s="249"/>
      <c r="L102" s="249"/>
      <c r="M102" s="249" t="n">
        <v>-2.67</v>
      </c>
      <c r="N102" s="251" t="n">
        <v>-1.84</v>
      </c>
      <c r="O102" s="252" t="n">
        <v>-0.67</v>
      </c>
      <c r="P102" s="253" t="n">
        <v>-1</v>
      </c>
      <c r="Q102" s="220"/>
      <c r="R102" s="251" t="n">
        <v>2</v>
      </c>
      <c r="S102" s="252" t="n">
        <v>1</v>
      </c>
      <c r="T102" s="254" t="n">
        <v>6</v>
      </c>
      <c r="U102" s="251"/>
      <c r="V102" s="252"/>
      <c r="W102" s="255" t="n">
        <v>0</v>
      </c>
      <c r="X102" s="250" t="n">
        <v>-2</v>
      </c>
      <c r="Y102" s="256"/>
    </row>
    <row r="103" customFormat="false" ht="12.5" hidden="false" customHeight="true" outlineLevel="0" collapsed="false">
      <c r="A103" s="210" t="s">
        <v>1103</v>
      </c>
      <c r="B103" s="211" t="s">
        <v>1121</v>
      </c>
      <c r="C103" s="246" t="s">
        <v>1239</v>
      </c>
      <c r="D103" s="247" t="s">
        <v>985</v>
      </c>
      <c r="E103" s="248"/>
      <c r="F103" s="248" t="n">
        <v>32.7</v>
      </c>
      <c r="G103" s="249" t="n">
        <v>25</v>
      </c>
      <c r="H103" s="249"/>
      <c r="I103" s="249" t="n">
        <v>39.53</v>
      </c>
      <c r="J103" s="250" t="n">
        <v>14.53</v>
      </c>
      <c r="K103" s="249"/>
      <c r="L103" s="249"/>
      <c r="M103" s="249" t="n">
        <v>-2.42</v>
      </c>
      <c r="N103" s="251" t="n">
        <v>9.25</v>
      </c>
      <c r="O103" s="252" t="n">
        <v>3.75</v>
      </c>
      <c r="P103" s="253" t="n">
        <v>6</v>
      </c>
      <c r="Q103" s="220"/>
      <c r="R103" s="251" t="n">
        <v>2</v>
      </c>
      <c r="S103" s="252"/>
      <c r="T103" s="254" t="n">
        <v>6</v>
      </c>
      <c r="U103" s="251" t="n">
        <v>10</v>
      </c>
      <c r="V103" s="252"/>
      <c r="W103" s="255" t="n">
        <v>5</v>
      </c>
      <c r="X103" s="250" t="n">
        <v>8</v>
      </c>
      <c r="Y103" s="256" t="n">
        <v>-1</v>
      </c>
    </row>
    <row r="104" customFormat="false" ht="12.5" hidden="false" customHeight="true" outlineLevel="0" collapsed="false">
      <c r="A104" s="210" t="s">
        <v>20</v>
      </c>
      <c r="B104" s="211" t="s">
        <v>1121</v>
      </c>
      <c r="C104" s="235" t="n">
        <v>164</v>
      </c>
      <c r="D104" s="236" t="s">
        <v>1240</v>
      </c>
      <c r="E104" s="237"/>
      <c r="F104" s="237" t="n">
        <v>1769.79</v>
      </c>
      <c r="G104" s="238" t="n">
        <v>1826.76</v>
      </c>
      <c r="H104" s="238" t="n">
        <v>-5</v>
      </c>
      <c r="I104" s="238" t="n">
        <v>1802.85</v>
      </c>
      <c r="J104" s="239" t="n">
        <v>-18.91</v>
      </c>
      <c r="K104" s="238"/>
      <c r="L104" s="238"/>
      <c r="M104" s="238" t="n">
        <v>5</v>
      </c>
      <c r="N104" s="240" t="n">
        <v>33.06</v>
      </c>
      <c r="O104" s="241" t="n">
        <v>23.18</v>
      </c>
      <c r="P104" s="242" t="n">
        <v>10</v>
      </c>
      <c r="Q104" s="220"/>
      <c r="R104" s="240" t="n">
        <v>277.4</v>
      </c>
      <c r="S104" s="241" t="n">
        <v>60.4</v>
      </c>
      <c r="T104" s="243"/>
      <c r="U104" s="240" t="n">
        <v>287.3</v>
      </c>
      <c r="V104" s="241" t="n">
        <v>64.4</v>
      </c>
      <c r="W104" s="244"/>
      <c r="X104" s="239" t="n">
        <v>9.9</v>
      </c>
      <c r="Y104" s="245"/>
    </row>
    <row r="105" customFormat="false" ht="12.5" hidden="false" customHeight="true" outlineLevel="0" collapsed="false">
      <c r="A105" s="210" t="s">
        <v>1103</v>
      </c>
      <c r="B105" s="211" t="s">
        <v>1121</v>
      </c>
      <c r="C105" s="246" t="s">
        <v>1241</v>
      </c>
      <c r="D105" s="247" t="s">
        <v>1235</v>
      </c>
      <c r="E105" s="248"/>
      <c r="F105" s="248" t="n">
        <v>798.83</v>
      </c>
      <c r="G105" s="249" t="n">
        <v>843.8</v>
      </c>
      <c r="H105" s="249" t="n">
        <v>-5</v>
      </c>
      <c r="I105" s="249" t="n">
        <v>825.7</v>
      </c>
      <c r="J105" s="250" t="n">
        <v>-13.0999999999999</v>
      </c>
      <c r="K105" s="249"/>
      <c r="L105" s="249"/>
      <c r="M105" s="249" t="n">
        <v>12</v>
      </c>
      <c r="N105" s="251" t="n">
        <v>19.87</v>
      </c>
      <c r="O105" s="252" t="n">
        <v>12.79</v>
      </c>
      <c r="P105" s="253" t="n">
        <v>7</v>
      </c>
      <c r="Q105" s="220"/>
      <c r="R105" s="251" t="n">
        <v>113.4</v>
      </c>
      <c r="S105" s="252" t="n">
        <v>22</v>
      </c>
      <c r="T105" s="254" t="n">
        <v>6.11</v>
      </c>
      <c r="U105" s="251" t="n">
        <v>136</v>
      </c>
      <c r="V105" s="252" t="n">
        <v>18.8</v>
      </c>
      <c r="W105" s="255" t="n">
        <v>6.63</v>
      </c>
      <c r="X105" s="250" t="n">
        <v>22.6</v>
      </c>
      <c r="Y105" s="256"/>
    </row>
    <row r="106" customFormat="false" ht="12.5" hidden="false" customHeight="true" outlineLevel="0" collapsed="false">
      <c r="A106" s="210" t="s">
        <v>1103</v>
      </c>
      <c r="B106" s="211" t="s">
        <v>1121</v>
      </c>
      <c r="C106" s="246" t="s">
        <v>1242</v>
      </c>
      <c r="D106" s="247" t="s">
        <v>1060</v>
      </c>
      <c r="E106" s="248"/>
      <c r="F106" s="248" t="n">
        <v>602.54</v>
      </c>
      <c r="G106" s="249" t="n">
        <v>560.34</v>
      </c>
      <c r="H106" s="249"/>
      <c r="I106" s="249" t="n">
        <v>624.04</v>
      </c>
      <c r="J106" s="250" t="n">
        <v>63.6999999999999</v>
      </c>
      <c r="K106" s="249"/>
      <c r="L106" s="249"/>
      <c r="M106" s="249" t="n">
        <v>7.58</v>
      </c>
      <c r="N106" s="251" t="n">
        <v>13.92</v>
      </c>
      <c r="O106" s="252" t="n">
        <v>8.41</v>
      </c>
      <c r="P106" s="253" t="n">
        <v>6</v>
      </c>
      <c r="Q106" s="220"/>
      <c r="R106" s="251" t="n">
        <v>96.6</v>
      </c>
      <c r="S106" s="252" t="n">
        <v>17.8</v>
      </c>
      <c r="T106" s="254" t="n">
        <v>6.7</v>
      </c>
      <c r="U106" s="251" t="n">
        <v>95.3</v>
      </c>
      <c r="V106" s="252" t="n">
        <v>26</v>
      </c>
      <c r="W106" s="255" t="n">
        <v>5.92</v>
      </c>
      <c r="X106" s="250" t="n">
        <v>-1.3</v>
      </c>
      <c r="Y106" s="256"/>
    </row>
    <row r="107" customFormat="false" ht="12.5" hidden="false" customHeight="true" outlineLevel="0" collapsed="false">
      <c r="A107" s="210" t="s">
        <v>1103</v>
      </c>
      <c r="B107" s="211" t="s">
        <v>1121</v>
      </c>
      <c r="C107" s="246" t="s">
        <v>1243</v>
      </c>
      <c r="D107" s="247" t="s">
        <v>1061</v>
      </c>
      <c r="E107" s="248"/>
      <c r="F107" s="248" t="n">
        <v>231.03</v>
      </c>
      <c r="G107" s="249" t="n">
        <v>249.95</v>
      </c>
      <c r="H107" s="249"/>
      <c r="I107" s="249" t="n">
        <v>231.39</v>
      </c>
      <c r="J107" s="250" t="n">
        <v>-18.56</v>
      </c>
      <c r="K107" s="249"/>
      <c r="L107" s="249"/>
      <c r="M107" s="249" t="n">
        <v>-4.03</v>
      </c>
      <c r="N107" s="251" t="n">
        <v>4.38999999999999</v>
      </c>
      <c r="O107" s="252" t="n">
        <v>8.39</v>
      </c>
      <c r="P107" s="253" t="n">
        <v>-4</v>
      </c>
      <c r="Q107" s="220"/>
      <c r="R107" s="251" t="n">
        <v>36.2</v>
      </c>
      <c r="S107" s="252" t="n">
        <v>12</v>
      </c>
      <c r="T107" s="254" t="n">
        <v>6.37</v>
      </c>
      <c r="U107" s="251" t="n">
        <v>27.2</v>
      </c>
      <c r="V107" s="252" t="n">
        <v>8</v>
      </c>
      <c r="W107" s="255" t="n">
        <v>5.94</v>
      </c>
      <c r="X107" s="250" t="n">
        <v>-9</v>
      </c>
      <c r="Y107" s="256"/>
    </row>
    <row r="108" customFormat="false" ht="12.5" hidden="false" customHeight="true" outlineLevel="0" collapsed="false">
      <c r="A108" s="210" t="s">
        <v>1103</v>
      </c>
      <c r="B108" s="211" t="s">
        <v>1121</v>
      </c>
      <c r="C108" s="246" t="s">
        <v>1244</v>
      </c>
      <c r="D108" s="247" t="s">
        <v>1062</v>
      </c>
      <c r="E108" s="248"/>
      <c r="F108" s="248" t="n">
        <v>137.39</v>
      </c>
      <c r="G108" s="249" t="n">
        <v>172.67</v>
      </c>
      <c r="H108" s="249"/>
      <c r="I108" s="249" t="n">
        <v>121.72</v>
      </c>
      <c r="J108" s="250" t="n">
        <v>-50.95</v>
      </c>
      <c r="K108" s="249"/>
      <c r="L108" s="249"/>
      <c r="M108" s="249" t="n">
        <v>-10.55</v>
      </c>
      <c r="N108" s="251" t="n">
        <v>-5.11999999999999</v>
      </c>
      <c r="O108" s="252" t="n">
        <v>-6.41</v>
      </c>
      <c r="P108" s="253" t="n">
        <v>1</v>
      </c>
      <c r="Q108" s="220"/>
      <c r="R108" s="251" t="n">
        <v>31.2</v>
      </c>
      <c r="S108" s="252" t="n">
        <v>8.6</v>
      </c>
      <c r="T108" s="254" t="n">
        <v>7.67</v>
      </c>
      <c r="U108" s="251" t="n">
        <v>28.8</v>
      </c>
      <c r="V108" s="252" t="n">
        <v>11.6</v>
      </c>
      <c r="W108" s="255" t="n">
        <v>6.69</v>
      </c>
      <c r="X108" s="250" t="n">
        <v>-2.4</v>
      </c>
      <c r="Y108" s="256"/>
    </row>
    <row r="109" customFormat="false" ht="12.5" hidden="false" customHeight="true" outlineLevel="0" collapsed="false">
      <c r="A109" s="210" t="s">
        <v>18</v>
      </c>
      <c r="B109" s="211" t="s">
        <v>1121</v>
      </c>
      <c r="C109" s="224" t="s">
        <v>1245</v>
      </c>
      <c r="D109" s="225" t="s">
        <v>1047</v>
      </c>
      <c r="E109" s="226" t="n">
        <v>-4.33</v>
      </c>
      <c r="F109" s="226" t="n">
        <v>8958.89</v>
      </c>
      <c r="G109" s="227" t="n">
        <v>9160.8</v>
      </c>
      <c r="H109" s="227" t="n">
        <v>-4</v>
      </c>
      <c r="I109" s="227" t="n">
        <v>8996.57</v>
      </c>
      <c r="J109" s="228" t="n">
        <v>-160.23</v>
      </c>
      <c r="K109" s="227"/>
      <c r="L109" s="227" t="n">
        <v>28</v>
      </c>
      <c r="M109" s="227" t="n">
        <v>-41.94</v>
      </c>
      <c r="N109" s="229" t="n">
        <v>51.29</v>
      </c>
      <c r="O109" s="230" t="n">
        <v>17.04</v>
      </c>
      <c r="P109" s="231" t="n">
        <v>34</v>
      </c>
      <c r="Q109" s="220"/>
      <c r="R109" s="229" t="n">
        <v>898.94</v>
      </c>
      <c r="S109" s="230" t="n">
        <v>274.6</v>
      </c>
      <c r="T109" s="232"/>
      <c r="U109" s="229" t="n">
        <v>920.99</v>
      </c>
      <c r="V109" s="230" t="n">
        <v>576.62</v>
      </c>
      <c r="W109" s="233"/>
      <c r="X109" s="228" t="n">
        <v>22.0500000000001</v>
      </c>
      <c r="Y109" s="234" t="n">
        <v>22</v>
      </c>
    </row>
    <row r="110" customFormat="false" ht="12.5" hidden="false" customHeight="true" outlineLevel="0" collapsed="false">
      <c r="A110" s="210" t="s">
        <v>20</v>
      </c>
      <c r="B110" s="211" t="s">
        <v>1121</v>
      </c>
      <c r="C110" s="235" t="n">
        <v>224</v>
      </c>
      <c r="D110" s="236" t="s">
        <v>1246</v>
      </c>
      <c r="E110" s="237" t="n">
        <v>-4.33</v>
      </c>
      <c r="F110" s="237" t="n">
        <v>8958.89</v>
      </c>
      <c r="G110" s="238" t="n">
        <v>9160.8</v>
      </c>
      <c r="H110" s="238" t="n">
        <v>-4</v>
      </c>
      <c r="I110" s="238" t="n">
        <v>8996.57</v>
      </c>
      <c r="J110" s="239" t="n">
        <v>-160.23</v>
      </c>
      <c r="K110" s="238"/>
      <c r="L110" s="238" t="n">
        <v>28</v>
      </c>
      <c r="M110" s="238" t="n">
        <v>-41.94</v>
      </c>
      <c r="N110" s="240" t="n">
        <v>51.29</v>
      </c>
      <c r="O110" s="241" t="n">
        <v>17.04</v>
      </c>
      <c r="P110" s="242" t="n">
        <v>34</v>
      </c>
      <c r="Q110" s="220"/>
      <c r="R110" s="240" t="n">
        <v>898.94</v>
      </c>
      <c r="S110" s="241" t="n">
        <v>274.6</v>
      </c>
      <c r="T110" s="243"/>
      <c r="U110" s="240" t="n">
        <v>920.99</v>
      </c>
      <c r="V110" s="241" t="n">
        <v>576.62</v>
      </c>
      <c r="W110" s="244"/>
      <c r="X110" s="239" t="n">
        <v>22.0500000000001</v>
      </c>
      <c r="Y110" s="245" t="n">
        <v>22</v>
      </c>
    </row>
    <row r="111" customFormat="false" ht="12.5" hidden="false" customHeight="true" outlineLevel="0" collapsed="false">
      <c r="A111" s="210" t="s">
        <v>1103</v>
      </c>
      <c r="B111" s="211" t="s">
        <v>1121</v>
      </c>
      <c r="C111" s="246" t="s">
        <v>1247</v>
      </c>
      <c r="D111" s="247" t="s">
        <v>1248</v>
      </c>
      <c r="E111" s="248" t="n">
        <v>1</v>
      </c>
      <c r="F111" s="248" t="n">
        <v>4007.45</v>
      </c>
      <c r="G111" s="249" t="n">
        <v>3811.88</v>
      </c>
      <c r="H111" s="249" t="n">
        <v>1</v>
      </c>
      <c r="I111" s="249" t="n">
        <v>4076.62</v>
      </c>
      <c r="J111" s="250" t="n">
        <v>263.74</v>
      </c>
      <c r="K111" s="249"/>
      <c r="L111" s="249" t="n">
        <v>11</v>
      </c>
      <c r="M111" s="249" t="n">
        <v>-80.58</v>
      </c>
      <c r="N111" s="251" t="n">
        <v>138.75</v>
      </c>
      <c r="O111" s="252" t="n">
        <v>65.62</v>
      </c>
      <c r="P111" s="253" t="n">
        <v>73</v>
      </c>
      <c r="Q111" s="220"/>
      <c r="R111" s="251" t="n">
        <v>505.34</v>
      </c>
      <c r="S111" s="252" t="n">
        <v>98.8</v>
      </c>
      <c r="T111" s="254" t="n">
        <v>6.31</v>
      </c>
      <c r="U111" s="251" t="n">
        <v>614.47</v>
      </c>
      <c r="V111" s="252" t="n">
        <v>427.4</v>
      </c>
      <c r="W111" s="255" t="n">
        <v>6.07</v>
      </c>
      <c r="X111" s="250" t="n">
        <v>109.13</v>
      </c>
      <c r="Y111" s="256" t="n">
        <v>77</v>
      </c>
    </row>
    <row r="112" customFormat="false" ht="12.5" hidden="false" customHeight="true" outlineLevel="0" collapsed="false">
      <c r="A112" s="210" t="s">
        <v>1103</v>
      </c>
      <c r="B112" s="211" t="s">
        <v>1121</v>
      </c>
      <c r="C112" s="246" t="s">
        <v>1249</v>
      </c>
      <c r="D112" s="247" t="s">
        <v>1250</v>
      </c>
      <c r="E112" s="248" t="n">
        <v>-5.33</v>
      </c>
      <c r="F112" s="248" t="n">
        <v>2263.48</v>
      </c>
      <c r="G112" s="249" t="n">
        <v>2369.94</v>
      </c>
      <c r="H112" s="249" t="n">
        <v>-6</v>
      </c>
      <c r="I112" s="249" t="n">
        <v>2259.35</v>
      </c>
      <c r="J112" s="250" t="n">
        <v>-104.59</v>
      </c>
      <c r="K112" s="249"/>
      <c r="L112" s="249" t="n">
        <v>17</v>
      </c>
      <c r="M112" s="249" t="n">
        <v>9.36</v>
      </c>
      <c r="N112" s="251" t="n">
        <v>-29.82</v>
      </c>
      <c r="O112" s="252" t="n">
        <v>-15.97</v>
      </c>
      <c r="P112" s="253" t="n">
        <v>-14</v>
      </c>
      <c r="Q112" s="220"/>
      <c r="R112" s="251" t="n">
        <v>123.6</v>
      </c>
      <c r="S112" s="252" t="n">
        <v>60.1</v>
      </c>
      <c r="T112" s="254" t="n">
        <v>6.85</v>
      </c>
      <c r="U112" s="251" t="n">
        <v>101.02</v>
      </c>
      <c r="V112" s="252" t="n">
        <v>76.22</v>
      </c>
      <c r="W112" s="255" t="n">
        <v>7.12</v>
      </c>
      <c r="X112" s="250" t="n">
        <v>-22.58</v>
      </c>
      <c r="Y112" s="256" t="n">
        <v>-2</v>
      </c>
    </row>
    <row r="113" customFormat="false" ht="12.5" hidden="false" customHeight="true" outlineLevel="0" collapsed="false">
      <c r="A113" s="210" t="s">
        <v>1103</v>
      </c>
      <c r="B113" s="211" t="s">
        <v>1121</v>
      </c>
      <c r="C113" s="246" t="s">
        <v>1251</v>
      </c>
      <c r="D113" s="247" t="s">
        <v>1252</v>
      </c>
      <c r="E113" s="248"/>
      <c r="F113" s="248" t="n">
        <v>770.15</v>
      </c>
      <c r="G113" s="249" t="n">
        <v>963.9</v>
      </c>
      <c r="H113" s="249"/>
      <c r="I113" s="249" t="n">
        <v>734.77</v>
      </c>
      <c r="J113" s="250" t="n">
        <v>-229.13</v>
      </c>
      <c r="K113" s="249"/>
      <c r="L113" s="249"/>
      <c r="M113" s="249" t="n">
        <v>10.44</v>
      </c>
      <c r="N113" s="251" t="n">
        <v>-45.82</v>
      </c>
      <c r="O113" s="252" t="n">
        <v>-11.75</v>
      </c>
      <c r="P113" s="253" t="n">
        <v>-34</v>
      </c>
      <c r="Q113" s="220"/>
      <c r="R113" s="251" t="n">
        <v>116.1</v>
      </c>
      <c r="S113" s="252" t="n">
        <v>47.9</v>
      </c>
      <c r="T113" s="254" t="n">
        <v>5.88</v>
      </c>
      <c r="U113" s="251" t="n">
        <v>59.1</v>
      </c>
      <c r="V113" s="252" t="n">
        <v>16</v>
      </c>
      <c r="W113" s="255" t="n">
        <v>5.93</v>
      </c>
      <c r="X113" s="250" t="n">
        <v>-57</v>
      </c>
      <c r="Y113" s="256" t="n">
        <v>-25</v>
      </c>
    </row>
    <row r="114" customFormat="false" ht="12.5" hidden="false" customHeight="true" outlineLevel="0" collapsed="false">
      <c r="A114" s="210" t="s">
        <v>1103</v>
      </c>
      <c r="B114" s="211" t="s">
        <v>1121</v>
      </c>
      <c r="C114" s="246" t="s">
        <v>1253</v>
      </c>
      <c r="D114" s="247" t="s">
        <v>1254</v>
      </c>
      <c r="E114" s="248"/>
      <c r="F114" s="248" t="n">
        <v>1917.81</v>
      </c>
      <c r="G114" s="249" t="n">
        <v>2015.08</v>
      </c>
      <c r="H114" s="249" t="n">
        <v>1</v>
      </c>
      <c r="I114" s="249" t="n">
        <v>1925.83</v>
      </c>
      <c r="J114" s="250" t="n">
        <v>-90.25</v>
      </c>
      <c r="K114" s="249"/>
      <c r="L114" s="249"/>
      <c r="M114" s="249" t="n">
        <v>18.84</v>
      </c>
      <c r="N114" s="251" t="n">
        <v>-11.82</v>
      </c>
      <c r="O114" s="252" t="n">
        <v>-20.86</v>
      </c>
      <c r="P114" s="253" t="n">
        <v>9</v>
      </c>
      <c r="Q114" s="220"/>
      <c r="R114" s="251" t="n">
        <v>153.9</v>
      </c>
      <c r="S114" s="252" t="n">
        <v>67.8</v>
      </c>
      <c r="T114" s="254" t="n">
        <v>6.39</v>
      </c>
      <c r="U114" s="251" t="n">
        <v>146.4</v>
      </c>
      <c r="V114" s="252" t="n">
        <v>57</v>
      </c>
      <c r="W114" s="255" t="n">
        <v>5.31</v>
      </c>
      <c r="X114" s="250" t="n">
        <v>-7.5</v>
      </c>
      <c r="Y114" s="256" t="n">
        <v>-28</v>
      </c>
    </row>
    <row r="115" customFormat="false" ht="12.5" hidden="false" customHeight="true" outlineLevel="0" collapsed="false">
      <c r="A115" s="210" t="s">
        <v>18</v>
      </c>
      <c r="B115" s="211" t="s">
        <v>1121</v>
      </c>
      <c r="C115" s="224" t="s">
        <v>1255</v>
      </c>
      <c r="D115" s="225" t="s">
        <v>1256</v>
      </c>
      <c r="E115" s="226" t="n">
        <v>-2.91</v>
      </c>
      <c r="F115" s="226" t="n">
        <v>264475.01</v>
      </c>
      <c r="G115" s="227" t="n">
        <v>270553.77</v>
      </c>
      <c r="H115" s="227" t="n">
        <v>1.15</v>
      </c>
      <c r="I115" s="227" t="n">
        <v>265458.38</v>
      </c>
      <c r="J115" s="228" t="n">
        <v>-5096.53999999999</v>
      </c>
      <c r="K115" s="227"/>
      <c r="L115" s="227" t="n">
        <v>-14</v>
      </c>
      <c r="M115" s="227" t="n">
        <v>-30.36</v>
      </c>
      <c r="N115" s="229" t="n">
        <v>1023.67</v>
      </c>
      <c r="O115" s="230" t="n">
        <v>1722.7</v>
      </c>
      <c r="P115" s="231" t="n">
        <v>-700</v>
      </c>
      <c r="Q115" s="220"/>
      <c r="R115" s="229" t="n">
        <v>37224.81</v>
      </c>
      <c r="S115" s="230" t="n">
        <v>7150.94</v>
      </c>
      <c r="T115" s="232"/>
      <c r="U115" s="229" t="n">
        <v>37704.25</v>
      </c>
      <c r="V115" s="230" t="n">
        <v>26472.51</v>
      </c>
      <c r="W115" s="233"/>
      <c r="X115" s="228" t="n">
        <v>479.440000000001</v>
      </c>
      <c r="Y115" s="234" t="n">
        <v>456</v>
      </c>
    </row>
    <row r="116" customFormat="false" ht="12.5" hidden="false" customHeight="true" outlineLevel="0" collapsed="false">
      <c r="A116" s="210" t="s">
        <v>20</v>
      </c>
      <c r="B116" s="211" t="s">
        <v>1121</v>
      </c>
      <c r="C116" s="235" t="n">
        <v>212</v>
      </c>
      <c r="D116" s="236" t="s">
        <v>1257</v>
      </c>
      <c r="E116" s="237" t="n">
        <v>-2.91</v>
      </c>
      <c r="F116" s="237" t="n">
        <v>264475.01</v>
      </c>
      <c r="G116" s="238" t="n">
        <v>270553.77</v>
      </c>
      <c r="H116" s="238" t="n">
        <v>1.15</v>
      </c>
      <c r="I116" s="238" t="n">
        <v>265458.38</v>
      </c>
      <c r="J116" s="239" t="n">
        <v>-5096.53999999999</v>
      </c>
      <c r="K116" s="238"/>
      <c r="L116" s="238" t="n">
        <v>-14</v>
      </c>
      <c r="M116" s="238" t="n">
        <v>-30.36</v>
      </c>
      <c r="N116" s="240" t="n">
        <v>1023.67</v>
      </c>
      <c r="O116" s="241" t="n">
        <v>1722.7</v>
      </c>
      <c r="P116" s="242" t="n">
        <v>-700</v>
      </c>
      <c r="Q116" s="220"/>
      <c r="R116" s="240" t="n">
        <v>37224.81</v>
      </c>
      <c r="S116" s="241" t="n">
        <v>7150.94</v>
      </c>
      <c r="T116" s="243"/>
      <c r="U116" s="240" t="n">
        <v>37704.25</v>
      </c>
      <c r="V116" s="241" t="n">
        <v>26472.51</v>
      </c>
      <c r="W116" s="244"/>
      <c r="X116" s="239" t="n">
        <v>479.440000000001</v>
      </c>
      <c r="Y116" s="245" t="n">
        <v>456</v>
      </c>
    </row>
    <row r="117" customFormat="false" ht="12.5" hidden="false" customHeight="true" outlineLevel="0" collapsed="false">
      <c r="A117" s="210" t="s">
        <v>1103</v>
      </c>
      <c r="B117" s="211" t="s">
        <v>1121</v>
      </c>
      <c r="C117" s="246" t="s">
        <v>1258</v>
      </c>
      <c r="D117" s="247" t="s">
        <v>1259</v>
      </c>
      <c r="E117" s="248"/>
      <c r="F117" s="248" t="n">
        <v>16213.49</v>
      </c>
      <c r="G117" s="249" t="n">
        <v>16450.92</v>
      </c>
      <c r="H117" s="249" t="n">
        <v>0.67</v>
      </c>
      <c r="I117" s="249" t="n">
        <v>17564.59</v>
      </c>
      <c r="J117" s="250" t="n">
        <v>1113</v>
      </c>
      <c r="K117" s="249"/>
      <c r="L117" s="249" t="n">
        <v>-7</v>
      </c>
      <c r="M117" s="249" t="n">
        <v>-1.27</v>
      </c>
      <c r="N117" s="251" t="n">
        <v>1358.7</v>
      </c>
      <c r="O117" s="252" t="n">
        <v>925.82</v>
      </c>
      <c r="P117" s="253" t="n">
        <v>433</v>
      </c>
      <c r="Q117" s="220"/>
      <c r="R117" s="251" t="n">
        <v>2556.97</v>
      </c>
      <c r="S117" s="252" t="n">
        <v>308.86</v>
      </c>
      <c r="T117" s="254" t="n">
        <v>7.46</v>
      </c>
      <c r="U117" s="251" t="n">
        <v>3408.48</v>
      </c>
      <c r="V117" s="252" t="n">
        <v>1732.31</v>
      </c>
      <c r="W117" s="255" t="n">
        <v>7.32</v>
      </c>
      <c r="X117" s="250" t="n">
        <v>851.51</v>
      </c>
      <c r="Y117" s="256" t="n">
        <v>578</v>
      </c>
    </row>
    <row r="118" customFormat="false" ht="12.5" hidden="false" customHeight="true" outlineLevel="0" collapsed="false">
      <c r="A118" s="210" t="s">
        <v>1103</v>
      </c>
      <c r="B118" s="211" t="s">
        <v>1121</v>
      </c>
      <c r="C118" s="246" t="s">
        <v>1260</v>
      </c>
      <c r="D118" s="247" t="s">
        <v>1261</v>
      </c>
      <c r="E118" s="248" t="n">
        <v>1.75</v>
      </c>
      <c r="F118" s="248" t="n">
        <v>15366.47</v>
      </c>
      <c r="G118" s="249" t="n">
        <v>16348.42</v>
      </c>
      <c r="H118" s="249"/>
      <c r="I118" s="249" t="n">
        <v>16125.04</v>
      </c>
      <c r="J118" s="250" t="n">
        <v>-223.379999999999</v>
      </c>
      <c r="K118" s="249"/>
      <c r="L118" s="249"/>
      <c r="M118" s="249" t="n">
        <v>0.87</v>
      </c>
      <c r="N118" s="251" t="n">
        <v>759.450000000002</v>
      </c>
      <c r="O118" s="252" t="n">
        <v>511.1</v>
      </c>
      <c r="P118" s="253" t="n">
        <v>248</v>
      </c>
      <c r="Q118" s="220"/>
      <c r="R118" s="251" t="n">
        <v>1865.5</v>
      </c>
      <c r="S118" s="252" t="n">
        <v>373.1</v>
      </c>
      <c r="T118" s="254" t="n">
        <v>6.5</v>
      </c>
      <c r="U118" s="251" t="n">
        <v>2170.4</v>
      </c>
      <c r="V118" s="252" t="n">
        <v>1182.3</v>
      </c>
      <c r="W118" s="255" t="n">
        <v>6.04</v>
      </c>
      <c r="X118" s="250" t="n">
        <v>304.9</v>
      </c>
      <c r="Y118" s="256" t="n">
        <v>307</v>
      </c>
    </row>
    <row r="119" customFormat="false" ht="12.5" hidden="false" customHeight="true" outlineLevel="0" collapsed="false">
      <c r="A119" s="210" t="s">
        <v>1103</v>
      </c>
      <c r="B119" s="211" t="s">
        <v>1121</v>
      </c>
      <c r="C119" s="246" t="s">
        <v>1262</v>
      </c>
      <c r="D119" s="247" t="s">
        <v>1263</v>
      </c>
      <c r="E119" s="248" t="n">
        <v>-0.5</v>
      </c>
      <c r="F119" s="248" t="n">
        <v>19844.36</v>
      </c>
      <c r="G119" s="249" t="n">
        <v>19949.31</v>
      </c>
      <c r="H119" s="249" t="n">
        <v>-0.5</v>
      </c>
      <c r="I119" s="249" t="n">
        <v>19997.69</v>
      </c>
      <c r="J119" s="250" t="n">
        <v>48.8799999999974</v>
      </c>
      <c r="K119" s="249"/>
      <c r="L119" s="249" t="n">
        <v>-1</v>
      </c>
      <c r="M119" s="249" t="n">
        <v>-1.78</v>
      </c>
      <c r="N119" s="251" t="n">
        <v>156.109999999998</v>
      </c>
      <c r="O119" s="252" t="n">
        <v>220.78</v>
      </c>
      <c r="P119" s="253" t="n">
        <v>-65</v>
      </c>
      <c r="Q119" s="220"/>
      <c r="R119" s="251" t="n">
        <v>2768.74</v>
      </c>
      <c r="S119" s="252" t="n">
        <v>462.58</v>
      </c>
      <c r="T119" s="254" t="n">
        <v>6.19</v>
      </c>
      <c r="U119" s="251" t="n">
        <v>2378.82</v>
      </c>
      <c r="V119" s="252" t="n">
        <v>1499.9</v>
      </c>
      <c r="W119" s="255" t="n">
        <v>5.4</v>
      </c>
      <c r="X119" s="250" t="n">
        <v>-389.92</v>
      </c>
      <c r="Y119" s="256" t="n">
        <v>-369</v>
      </c>
    </row>
    <row r="120" customFormat="false" ht="12.5" hidden="false" customHeight="true" outlineLevel="0" collapsed="false">
      <c r="A120" s="210" t="s">
        <v>1103</v>
      </c>
      <c r="B120" s="211" t="s">
        <v>1121</v>
      </c>
      <c r="C120" s="246" t="s">
        <v>1264</v>
      </c>
      <c r="D120" s="247" t="s">
        <v>1265</v>
      </c>
      <c r="E120" s="248"/>
      <c r="F120" s="248" t="n">
        <v>10928.52</v>
      </c>
      <c r="G120" s="249" t="n">
        <v>10469.05</v>
      </c>
      <c r="H120" s="249" t="n">
        <v>3.98</v>
      </c>
      <c r="I120" s="249" t="n">
        <v>10326.31</v>
      </c>
      <c r="J120" s="250" t="n">
        <v>-146.719999999999</v>
      </c>
      <c r="K120" s="249"/>
      <c r="L120" s="249" t="n">
        <v>-1</v>
      </c>
      <c r="M120" s="249" t="n">
        <v>-3.88</v>
      </c>
      <c r="N120" s="251" t="n">
        <v>-601.310000000001</v>
      </c>
      <c r="O120" s="252" t="n">
        <v>-260.47</v>
      </c>
      <c r="P120" s="253" t="n">
        <v>-341</v>
      </c>
      <c r="Q120" s="220"/>
      <c r="R120" s="251" t="n">
        <v>1173.6</v>
      </c>
      <c r="S120" s="252" t="n">
        <v>573.4</v>
      </c>
      <c r="T120" s="254" t="n">
        <v>6.43</v>
      </c>
      <c r="U120" s="251" t="n">
        <v>628.55</v>
      </c>
      <c r="V120" s="252" t="n">
        <v>300</v>
      </c>
      <c r="W120" s="255" t="n">
        <v>7.24</v>
      </c>
      <c r="X120" s="250" t="n">
        <v>-545.05</v>
      </c>
      <c r="Y120" s="256" t="n">
        <v>-106</v>
      </c>
    </row>
    <row r="121" customFormat="false" ht="12.5" hidden="false" customHeight="true" outlineLevel="0" collapsed="false">
      <c r="A121" s="210" t="s">
        <v>1103</v>
      </c>
      <c r="B121" s="211" t="s">
        <v>1121</v>
      </c>
      <c r="C121" s="246" t="s">
        <v>1266</v>
      </c>
      <c r="D121" s="247" t="s">
        <v>1267</v>
      </c>
      <c r="E121" s="248" t="n">
        <v>-3.08</v>
      </c>
      <c r="F121" s="248" t="n">
        <v>34283.25</v>
      </c>
      <c r="G121" s="249" t="n">
        <v>35508.12</v>
      </c>
      <c r="H121" s="249" t="n">
        <v>-2.58</v>
      </c>
      <c r="I121" s="249" t="n">
        <v>34714.75</v>
      </c>
      <c r="J121" s="250" t="n">
        <v>-790.790000000001</v>
      </c>
      <c r="K121" s="249"/>
      <c r="L121" s="249" t="n">
        <v>-3</v>
      </c>
      <c r="M121" s="249" t="n">
        <v>-0.84</v>
      </c>
      <c r="N121" s="251" t="n">
        <v>434.84</v>
      </c>
      <c r="O121" s="252" t="n">
        <v>421.72</v>
      </c>
      <c r="P121" s="253" t="n">
        <v>13</v>
      </c>
      <c r="Q121" s="220"/>
      <c r="R121" s="251" t="n">
        <v>2626</v>
      </c>
      <c r="S121" s="252" t="n">
        <v>839</v>
      </c>
      <c r="T121" s="254" t="n">
        <v>6.86</v>
      </c>
      <c r="U121" s="251" t="n">
        <v>3137</v>
      </c>
      <c r="V121" s="252" t="n">
        <v>1555</v>
      </c>
      <c r="W121" s="255" t="n">
        <v>7.81</v>
      </c>
      <c r="X121" s="250" t="n">
        <v>511</v>
      </c>
      <c r="Y121" s="256" t="n">
        <v>329</v>
      </c>
    </row>
    <row r="122" customFormat="false" ht="12.5" hidden="false" customHeight="true" outlineLevel="0" collapsed="false">
      <c r="A122" s="210" t="s">
        <v>1103</v>
      </c>
      <c r="B122" s="211" t="s">
        <v>1121</v>
      </c>
      <c r="C122" s="246" t="s">
        <v>1268</v>
      </c>
      <c r="D122" s="247" t="s">
        <v>1269</v>
      </c>
      <c r="E122" s="248" t="n">
        <v>-1.08</v>
      </c>
      <c r="F122" s="248" t="n">
        <v>89914.08</v>
      </c>
      <c r="G122" s="249" t="n">
        <v>92825.56</v>
      </c>
      <c r="H122" s="249" t="n">
        <v>-0.42</v>
      </c>
      <c r="I122" s="249" t="n">
        <v>89465.5</v>
      </c>
      <c r="J122" s="250" t="n">
        <v>-3359.64</v>
      </c>
      <c r="K122" s="249"/>
      <c r="L122" s="249" t="n">
        <v>-2</v>
      </c>
      <c r="M122" s="249" t="n">
        <v>-7.55</v>
      </c>
      <c r="N122" s="251" t="n">
        <v>-439.690000000005</v>
      </c>
      <c r="O122" s="252" t="n">
        <v>28.34</v>
      </c>
      <c r="P122" s="253" t="n">
        <v>-468</v>
      </c>
      <c r="Q122" s="220"/>
      <c r="R122" s="251" t="n">
        <v>8967</v>
      </c>
      <c r="S122" s="252" t="n">
        <v>3362</v>
      </c>
      <c r="T122" s="254" t="n">
        <v>6.45</v>
      </c>
      <c r="U122" s="251" t="n">
        <v>9418</v>
      </c>
      <c r="V122" s="252" t="n">
        <v>4832</v>
      </c>
      <c r="W122" s="255" t="n">
        <v>7.36</v>
      </c>
      <c r="X122" s="250" t="n">
        <v>451</v>
      </c>
      <c r="Y122" s="256" t="n">
        <v>504</v>
      </c>
    </row>
    <row r="123" customFormat="false" ht="12.5" hidden="false" customHeight="true" outlineLevel="0" collapsed="false">
      <c r="A123" s="210" t="s">
        <v>1103</v>
      </c>
      <c r="B123" s="211" t="s">
        <v>1121</v>
      </c>
      <c r="C123" s="246" t="s">
        <v>1270</v>
      </c>
      <c r="D123" s="247" t="s">
        <v>1271</v>
      </c>
      <c r="E123" s="248"/>
      <c r="F123" s="248" t="n">
        <v>76021.5</v>
      </c>
      <c r="G123" s="249" t="n">
        <v>76438.76</v>
      </c>
      <c r="H123" s="249"/>
      <c r="I123" s="249" t="n">
        <v>75237</v>
      </c>
      <c r="J123" s="250" t="n">
        <v>-1201.75999999999</v>
      </c>
      <c r="K123" s="249"/>
      <c r="L123" s="249"/>
      <c r="M123" s="249" t="n">
        <v>-72.99</v>
      </c>
      <c r="N123" s="251" t="n">
        <v>-711.51</v>
      </c>
      <c r="O123" s="252" t="n">
        <v>-163.84</v>
      </c>
      <c r="P123" s="253" t="n">
        <v>-548</v>
      </c>
      <c r="Q123" s="220"/>
      <c r="R123" s="251" t="n">
        <v>15908</v>
      </c>
      <c r="S123" s="252" t="n">
        <v>1232</v>
      </c>
      <c r="T123" s="254" t="n">
        <v>6.33</v>
      </c>
      <c r="U123" s="251" t="n">
        <v>15266</v>
      </c>
      <c r="V123" s="252" t="n">
        <v>14247</v>
      </c>
      <c r="W123" s="255" t="n">
        <v>6.48</v>
      </c>
      <c r="X123" s="250" t="n">
        <v>-642</v>
      </c>
      <c r="Y123" s="256" t="n">
        <v>-619</v>
      </c>
    </row>
    <row r="124" customFormat="false" ht="12.5" hidden="false" customHeight="true" outlineLevel="0" collapsed="false">
      <c r="A124" s="210" t="s">
        <v>1103</v>
      </c>
      <c r="B124" s="211" t="s">
        <v>1121</v>
      </c>
      <c r="C124" s="246" t="s">
        <v>1272</v>
      </c>
      <c r="D124" s="247" t="s">
        <v>1273</v>
      </c>
      <c r="E124" s="248"/>
      <c r="F124" s="248" t="n">
        <v>1287.17</v>
      </c>
      <c r="G124" s="249" t="n">
        <v>1250.63</v>
      </c>
      <c r="H124" s="249"/>
      <c r="I124" s="249" t="n">
        <v>1369.92</v>
      </c>
      <c r="J124" s="250" t="n">
        <v>119.29</v>
      </c>
      <c r="K124" s="249"/>
      <c r="L124" s="249"/>
      <c r="M124" s="249" t="n">
        <v>15.67</v>
      </c>
      <c r="N124" s="251" t="n">
        <v>67.08</v>
      </c>
      <c r="O124" s="252" t="n">
        <v>39.25</v>
      </c>
      <c r="P124" s="253" t="n">
        <v>28</v>
      </c>
      <c r="Q124" s="220"/>
      <c r="R124" s="251" t="n">
        <v>1359</v>
      </c>
      <c r="S124" s="252"/>
      <c r="T124" s="254" t="n">
        <v>7.09</v>
      </c>
      <c r="U124" s="251" t="n">
        <v>1297</v>
      </c>
      <c r="V124" s="252" t="n">
        <v>1124</v>
      </c>
      <c r="W124" s="255" t="n">
        <v>6.55</v>
      </c>
      <c r="X124" s="250" t="n">
        <v>-62</v>
      </c>
      <c r="Y124" s="256" t="n">
        <v>-168</v>
      </c>
    </row>
    <row r="125" customFormat="false" ht="12.5" hidden="false" customHeight="true" outlineLevel="0" collapsed="false">
      <c r="A125" s="210" t="s">
        <v>1103</v>
      </c>
      <c r="B125" s="211" t="s">
        <v>1121</v>
      </c>
      <c r="C125" s="246" t="s">
        <v>1274</v>
      </c>
      <c r="D125" s="247" t="s">
        <v>1275</v>
      </c>
      <c r="E125" s="248"/>
      <c r="F125" s="248" t="n">
        <v>616.17</v>
      </c>
      <c r="G125" s="249" t="n">
        <v>1313</v>
      </c>
      <c r="H125" s="249"/>
      <c r="I125" s="249" t="n">
        <v>657.58</v>
      </c>
      <c r="J125" s="250" t="n">
        <v>-655.42</v>
      </c>
      <c r="K125" s="249"/>
      <c r="L125" s="249"/>
      <c r="M125" s="249" t="n">
        <v>41.41</v>
      </c>
      <c r="N125" s="251" t="n">
        <v>8.5265128291212E-014</v>
      </c>
      <c r="O125" s="252"/>
      <c r="P125" s="253"/>
      <c r="Q125" s="220"/>
      <c r="R125" s="251"/>
      <c r="S125" s="252"/>
      <c r="T125" s="254" t="n">
        <v>0</v>
      </c>
      <c r="U125" s="251"/>
      <c r="V125" s="252"/>
      <c r="W125" s="255" t="n">
        <v>0</v>
      </c>
      <c r="X125" s="250"/>
      <c r="Y125" s="256"/>
    </row>
    <row r="126" customFormat="false" ht="12.5" hidden="false" customHeight="true" outlineLevel="0" collapsed="false">
      <c r="A126" s="210" t="s">
        <v>18</v>
      </c>
      <c r="B126" s="211" t="s">
        <v>1121</v>
      </c>
      <c r="C126" s="224" t="s">
        <v>1276</v>
      </c>
      <c r="D126" s="225" t="s">
        <v>1277</v>
      </c>
      <c r="E126" s="226" t="n">
        <v>8.13</v>
      </c>
      <c r="F126" s="226" t="n">
        <v>3546.91</v>
      </c>
      <c r="G126" s="227" t="n">
        <v>3904</v>
      </c>
      <c r="H126" s="227" t="n">
        <v>11.97</v>
      </c>
      <c r="I126" s="227" t="n">
        <v>3732.81</v>
      </c>
      <c r="J126" s="228" t="n">
        <v>-183.16</v>
      </c>
      <c r="K126" s="227"/>
      <c r="L126" s="227" t="n">
        <v>16</v>
      </c>
      <c r="M126" s="227" t="n">
        <v>0.22</v>
      </c>
      <c r="N126" s="229" t="n">
        <v>165.84</v>
      </c>
      <c r="O126" s="230" t="n">
        <v>164.21</v>
      </c>
      <c r="P126" s="231" t="n">
        <v>2</v>
      </c>
      <c r="Q126" s="220"/>
      <c r="R126" s="229" t="n">
        <v>1570.8</v>
      </c>
      <c r="S126" s="230" t="n">
        <v>37</v>
      </c>
      <c r="T126" s="232"/>
      <c r="U126" s="229" t="n">
        <v>1644</v>
      </c>
      <c r="V126" s="230" t="n">
        <v>4</v>
      </c>
      <c r="W126" s="233"/>
      <c r="X126" s="228" t="n">
        <v>73.1999999999999</v>
      </c>
      <c r="Y126" s="234" t="n">
        <v>156</v>
      </c>
    </row>
    <row r="127" customFormat="false" ht="12.5" hidden="false" customHeight="true" outlineLevel="0" collapsed="false">
      <c r="A127" s="210" t="s">
        <v>20</v>
      </c>
      <c r="B127" s="211" t="s">
        <v>1121</v>
      </c>
      <c r="C127" s="235" t="n">
        <v>129</v>
      </c>
      <c r="D127" s="236" t="s">
        <v>1278</v>
      </c>
      <c r="E127" s="237" t="n">
        <v>8.13</v>
      </c>
      <c r="F127" s="237" t="n">
        <v>2868.92</v>
      </c>
      <c r="G127" s="238" t="n">
        <v>3173</v>
      </c>
      <c r="H127" s="238" t="n">
        <v>11.97</v>
      </c>
      <c r="I127" s="238" t="n">
        <v>3037.23</v>
      </c>
      <c r="J127" s="239" t="n">
        <v>-147.74</v>
      </c>
      <c r="K127" s="238"/>
      <c r="L127" s="238" t="n">
        <v>16</v>
      </c>
      <c r="M127" s="238" t="n">
        <v>0.22</v>
      </c>
      <c r="N127" s="240" t="n">
        <v>148.25</v>
      </c>
      <c r="O127" s="241" t="n">
        <v>162.72</v>
      </c>
      <c r="P127" s="242" t="n">
        <v>-15</v>
      </c>
      <c r="Q127" s="220"/>
      <c r="R127" s="240" t="n">
        <v>1367.8</v>
      </c>
      <c r="S127" s="241" t="n">
        <v>31</v>
      </c>
      <c r="T127" s="243"/>
      <c r="U127" s="240" t="n">
        <v>1403.6</v>
      </c>
      <c r="V127" s="241" t="n">
        <v>4</v>
      </c>
      <c r="W127" s="244"/>
      <c r="X127" s="239" t="n">
        <v>35.7999999999999</v>
      </c>
      <c r="Y127" s="245" t="n">
        <v>127</v>
      </c>
    </row>
    <row r="128" customFormat="false" ht="12.5" hidden="false" customHeight="true" outlineLevel="0" collapsed="false">
      <c r="A128" s="210" t="s">
        <v>1103</v>
      </c>
      <c r="B128" s="211" t="s">
        <v>1121</v>
      </c>
      <c r="C128" s="246" t="s">
        <v>1279</v>
      </c>
      <c r="D128" s="247" t="s">
        <v>1235</v>
      </c>
      <c r="E128" s="248" t="n">
        <v>-2</v>
      </c>
      <c r="F128" s="248" t="n">
        <v>301.1</v>
      </c>
      <c r="G128" s="249" t="n">
        <v>261</v>
      </c>
      <c r="H128" s="249" t="n">
        <v>3.56</v>
      </c>
      <c r="I128" s="249" t="n">
        <v>213.87</v>
      </c>
      <c r="J128" s="250" t="n">
        <v>-50.69</v>
      </c>
      <c r="K128" s="249"/>
      <c r="L128" s="249"/>
      <c r="M128" s="249"/>
      <c r="N128" s="251" t="n">
        <v>-92.79</v>
      </c>
      <c r="O128" s="252" t="n">
        <v>-17.81</v>
      </c>
      <c r="P128" s="253" t="n">
        <v>-75</v>
      </c>
      <c r="Q128" s="220"/>
      <c r="R128" s="251" t="n">
        <v>81.7</v>
      </c>
      <c r="S128" s="252" t="n">
        <v>2</v>
      </c>
      <c r="T128" s="254" t="n">
        <v>1.04</v>
      </c>
      <c r="U128" s="251" t="n">
        <v>73</v>
      </c>
      <c r="V128" s="252"/>
      <c r="W128" s="255" t="n">
        <v>11.94</v>
      </c>
      <c r="X128" s="250" t="n">
        <v>-8.7</v>
      </c>
      <c r="Y128" s="256" t="n">
        <v>11</v>
      </c>
    </row>
    <row r="129" customFormat="false" ht="12.5" hidden="false" customHeight="true" outlineLevel="0" collapsed="false">
      <c r="A129" s="210" t="s">
        <v>1103</v>
      </c>
      <c r="B129" s="211" t="s">
        <v>1121</v>
      </c>
      <c r="C129" s="246" t="s">
        <v>1280</v>
      </c>
      <c r="D129" s="247" t="s">
        <v>1060</v>
      </c>
      <c r="E129" s="248" t="n">
        <v>4.13</v>
      </c>
      <c r="F129" s="248" t="n">
        <v>749.56</v>
      </c>
      <c r="G129" s="249" t="n">
        <v>532</v>
      </c>
      <c r="H129" s="249" t="n">
        <v>6.66</v>
      </c>
      <c r="I129" s="249" t="n">
        <v>764.17</v>
      </c>
      <c r="J129" s="250" t="n">
        <v>225.51</v>
      </c>
      <c r="K129" s="249"/>
      <c r="L129" s="249" t="n">
        <v>12</v>
      </c>
      <c r="M129" s="249"/>
      <c r="N129" s="251" t="n">
        <v>0.0800000000000409</v>
      </c>
      <c r="O129" s="252" t="n">
        <v>-3.62</v>
      </c>
      <c r="P129" s="253" t="n">
        <v>4</v>
      </c>
      <c r="Q129" s="220"/>
      <c r="R129" s="251" t="n">
        <v>110.4</v>
      </c>
      <c r="S129" s="252" t="n">
        <v>8</v>
      </c>
      <c r="T129" s="254" t="n">
        <v>4.29</v>
      </c>
      <c r="U129" s="251" t="n">
        <v>129.8</v>
      </c>
      <c r="V129" s="252" t="n">
        <v>4</v>
      </c>
      <c r="W129" s="255" t="n">
        <v>5.25</v>
      </c>
      <c r="X129" s="250" t="n">
        <v>19.4</v>
      </c>
      <c r="Y129" s="256" t="n">
        <v>31</v>
      </c>
    </row>
    <row r="130" customFormat="false" ht="12.5" hidden="false" customHeight="true" outlineLevel="0" collapsed="false">
      <c r="A130" s="210" t="s">
        <v>1103</v>
      </c>
      <c r="B130" s="211" t="s">
        <v>1121</v>
      </c>
      <c r="C130" s="246" t="s">
        <v>1281</v>
      </c>
      <c r="D130" s="247" t="s">
        <v>1061</v>
      </c>
      <c r="E130" s="248" t="n">
        <v>3</v>
      </c>
      <c r="F130" s="248" t="n">
        <v>242.21</v>
      </c>
      <c r="G130" s="249" t="n">
        <v>385</v>
      </c>
      <c r="H130" s="249" t="n">
        <v>3.5</v>
      </c>
      <c r="I130" s="249" t="n">
        <v>242.88</v>
      </c>
      <c r="J130" s="250" t="n">
        <v>-145.62</v>
      </c>
      <c r="K130" s="249"/>
      <c r="L130" s="249" t="n">
        <v>3</v>
      </c>
      <c r="M130" s="249"/>
      <c r="N130" s="251" t="n">
        <v>-2.83000000000001</v>
      </c>
      <c r="O130" s="252" t="n">
        <v>-15.31</v>
      </c>
      <c r="P130" s="253" t="n">
        <v>12</v>
      </c>
      <c r="Q130" s="220"/>
      <c r="R130" s="251" t="n">
        <v>77.2</v>
      </c>
      <c r="S130" s="252" t="n">
        <v>8</v>
      </c>
      <c r="T130" s="254" t="n">
        <v>11.58</v>
      </c>
      <c r="U130" s="251" t="n">
        <v>56.5</v>
      </c>
      <c r="V130" s="252"/>
      <c r="W130" s="255" t="n">
        <v>8.41</v>
      </c>
      <c r="X130" s="250" t="n">
        <v>-20.7</v>
      </c>
      <c r="Y130" s="256" t="n">
        <v>3</v>
      </c>
    </row>
    <row r="131" customFormat="false" ht="12.5" hidden="false" customHeight="true" outlineLevel="0" collapsed="false">
      <c r="A131" s="210" t="s">
        <v>1103</v>
      </c>
      <c r="B131" s="211" t="s">
        <v>1121</v>
      </c>
      <c r="C131" s="246" t="s">
        <v>1282</v>
      </c>
      <c r="D131" s="247" t="s">
        <v>1062</v>
      </c>
      <c r="E131" s="248" t="n">
        <v>3</v>
      </c>
      <c r="F131" s="248" t="n">
        <v>279.9</v>
      </c>
      <c r="G131" s="249" t="n">
        <v>505</v>
      </c>
      <c r="H131" s="249" t="n">
        <v>2</v>
      </c>
      <c r="I131" s="249" t="n">
        <v>267.12</v>
      </c>
      <c r="J131" s="250" t="n">
        <v>-239.88</v>
      </c>
      <c r="K131" s="249"/>
      <c r="L131" s="249" t="n">
        <v>1</v>
      </c>
      <c r="M131" s="249"/>
      <c r="N131" s="251" t="n">
        <v>-12.78</v>
      </c>
      <c r="O131" s="252" t="n">
        <v>30.79</v>
      </c>
      <c r="P131" s="253" t="n">
        <v>-44</v>
      </c>
      <c r="Q131" s="220"/>
      <c r="R131" s="251" t="n">
        <v>101.6</v>
      </c>
      <c r="S131" s="252" t="n">
        <v>10</v>
      </c>
      <c r="T131" s="254" t="n">
        <v>3.22</v>
      </c>
      <c r="U131" s="251" t="n">
        <v>77.7</v>
      </c>
      <c r="V131" s="252"/>
      <c r="W131" s="255" t="n">
        <v>6.94</v>
      </c>
      <c r="X131" s="250" t="n">
        <v>-23.9</v>
      </c>
      <c r="Y131" s="256" t="n">
        <v>1</v>
      </c>
    </row>
    <row r="132" customFormat="false" ht="12.5" hidden="false" customHeight="true" outlineLevel="0" collapsed="false">
      <c r="A132" s="210" t="s">
        <v>1103</v>
      </c>
      <c r="B132" s="211" t="s">
        <v>1121</v>
      </c>
      <c r="C132" s="246" t="s">
        <v>1283</v>
      </c>
      <c r="D132" s="247" t="s">
        <v>985</v>
      </c>
      <c r="E132" s="248"/>
      <c r="F132" s="248" t="n">
        <v>1296.15</v>
      </c>
      <c r="G132" s="249" t="n">
        <v>1490</v>
      </c>
      <c r="H132" s="249" t="n">
        <v>-3.75</v>
      </c>
      <c r="I132" s="249" t="n">
        <v>1549.19</v>
      </c>
      <c r="J132" s="250" t="n">
        <v>62.9400000000001</v>
      </c>
      <c r="K132" s="249"/>
      <c r="L132" s="249"/>
      <c r="M132" s="249" t="n">
        <v>0.22</v>
      </c>
      <c r="N132" s="251" t="n">
        <v>256.57</v>
      </c>
      <c r="O132" s="252" t="n">
        <v>168.67</v>
      </c>
      <c r="P132" s="253" t="n">
        <v>88</v>
      </c>
      <c r="Q132" s="220"/>
      <c r="R132" s="251" t="n">
        <v>996.9</v>
      </c>
      <c r="S132" s="252" t="n">
        <v>3</v>
      </c>
      <c r="T132" s="254" t="n">
        <v>6.13</v>
      </c>
      <c r="U132" s="251" t="n">
        <v>1066.6</v>
      </c>
      <c r="V132" s="252"/>
      <c r="W132" s="255" t="n">
        <v>5.59</v>
      </c>
      <c r="X132" s="250" t="n">
        <v>69.6999999999999</v>
      </c>
      <c r="Y132" s="256" t="n">
        <v>81</v>
      </c>
    </row>
    <row r="133" customFormat="false" ht="12.5" hidden="false" customHeight="true" outlineLevel="0" collapsed="false">
      <c r="A133" s="210" t="s">
        <v>20</v>
      </c>
      <c r="B133" s="211" t="s">
        <v>1121</v>
      </c>
      <c r="C133" s="235" t="n">
        <v>308</v>
      </c>
      <c r="D133" s="236" t="s">
        <v>1284</v>
      </c>
      <c r="E133" s="237"/>
      <c r="F133" s="237" t="n">
        <v>677.99</v>
      </c>
      <c r="G133" s="238" t="n">
        <v>731</v>
      </c>
      <c r="H133" s="238"/>
      <c r="I133" s="238" t="n">
        <v>695.58</v>
      </c>
      <c r="J133" s="239" t="n">
        <v>-35.42</v>
      </c>
      <c r="K133" s="238"/>
      <c r="L133" s="238"/>
      <c r="M133" s="238"/>
      <c r="N133" s="240" t="n">
        <v>17.59</v>
      </c>
      <c r="O133" s="241" t="n">
        <v>1.49</v>
      </c>
      <c r="P133" s="242" t="n">
        <v>17</v>
      </c>
      <c r="Q133" s="220"/>
      <c r="R133" s="240" t="n">
        <v>203</v>
      </c>
      <c r="S133" s="241" t="n">
        <v>6</v>
      </c>
      <c r="T133" s="243"/>
      <c r="U133" s="240" t="n">
        <v>240.4</v>
      </c>
      <c r="V133" s="241"/>
      <c r="W133" s="244"/>
      <c r="X133" s="239" t="n">
        <v>37.4</v>
      </c>
      <c r="Y133" s="245" t="n">
        <v>29</v>
      </c>
    </row>
    <row r="134" customFormat="false" ht="12.5" hidden="false" customHeight="true" outlineLevel="0" collapsed="false">
      <c r="A134" s="210" t="s">
        <v>1103</v>
      </c>
      <c r="B134" s="211" t="s">
        <v>1121</v>
      </c>
      <c r="C134" s="246" t="s">
        <v>1285</v>
      </c>
      <c r="D134" s="247" t="s">
        <v>1235</v>
      </c>
      <c r="E134" s="248"/>
      <c r="F134" s="248" t="n">
        <v>28.66</v>
      </c>
      <c r="G134" s="249" t="n">
        <v>52.5</v>
      </c>
      <c r="H134" s="249"/>
      <c r="I134" s="249" t="n">
        <v>28.96</v>
      </c>
      <c r="J134" s="250" t="n">
        <v>-23.54</v>
      </c>
      <c r="K134" s="249"/>
      <c r="L134" s="249"/>
      <c r="M134" s="249"/>
      <c r="N134" s="251" t="n">
        <v>0.300000000000001</v>
      </c>
      <c r="O134" s="252" t="n">
        <v>0.64</v>
      </c>
      <c r="P134" s="253"/>
      <c r="Q134" s="220"/>
      <c r="R134" s="251" t="n">
        <v>12</v>
      </c>
      <c r="S134" s="252" t="n">
        <v>1</v>
      </c>
      <c r="T134" s="254" t="n">
        <v>4.75</v>
      </c>
      <c r="U134" s="251" t="n">
        <v>14</v>
      </c>
      <c r="V134" s="252"/>
      <c r="W134" s="255" t="n">
        <v>6.22</v>
      </c>
      <c r="X134" s="250" t="n">
        <v>2</v>
      </c>
      <c r="Y134" s="256" t="n">
        <v>1</v>
      </c>
    </row>
    <row r="135" customFormat="false" ht="12.5" hidden="false" customHeight="true" outlineLevel="0" collapsed="false">
      <c r="A135" s="210" t="s">
        <v>1103</v>
      </c>
      <c r="B135" s="211" t="s">
        <v>1121</v>
      </c>
      <c r="C135" s="246" t="s">
        <v>1286</v>
      </c>
      <c r="D135" s="247" t="s">
        <v>1060</v>
      </c>
      <c r="E135" s="248"/>
      <c r="F135" s="248" t="n">
        <v>180.17</v>
      </c>
      <c r="G135" s="249" t="n">
        <v>101</v>
      </c>
      <c r="H135" s="249"/>
      <c r="I135" s="249" t="n">
        <v>158.73</v>
      </c>
      <c r="J135" s="250" t="n">
        <v>57.73</v>
      </c>
      <c r="K135" s="249"/>
      <c r="L135" s="249"/>
      <c r="M135" s="249"/>
      <c r="N135" s="251" t="n">
        <v>-21.44</v>
      </c>
      <c r="O135" s="252" t="n">
        <v>-12.3</v>
      </c>
      <c r="P135" s="253" t="n">
        <v>-9</v>
      </c>
      <c r="Q135" s="220"/>
      <c r="R135" s="251" t="n">
        <v>11.8</v>
      </c>
      <c r="S135" s="252"/>
      <c r="T135" s="254" t="n">
        <v>1.21</v>
      </c>
      <c r="U135" s="251" t="n">
        <v>17</v>
      </c>
      <c r="V135" s="252"/>
      <c r="W135" s="255" t="n">
        <v>11.27</v>
      </c>
      <c r="X135" s="250" t="n">
        <v>5.2</v>
      </c>
      <c r="Y135" s="256" t="n">
        <v>7</v>
      </c>
    </row>
    <row r="136" customFormat="false" ht="12.5" hidden="false" customHeight="true" outlineLevel="0" collapsed="false">
      <c r="A136" s="210" t="s">
        <v>1103</v>
      </c>
      <c r="B136" s="211" t="s">
        <v>1121</v>
      </c>
      <c r="C136" s="246" t="s">
        <v>1287</v>
      </c>
      <c r="D136" s="247" t="s">
        <v>1061</v>
      </c>
      <c r="E136" s="248"/>
      <c r="F136" s="248" t="n">
        <v>16.41</v>
      </c>
      <c r="G136" s="249" t="n">
        <v>37</v>
      </c>
      <c r="H136" s="249"/>
      <c r="I136" s="249" t="n">
        <v>29.34</v>
      </c>
      <c r="J136" s="250" t="n">
        <v>-7.66</v>
      </c>
      <c r="K136" s="249"/>
      <c r="L136" s="249"/>
      <c r="M136" s="249"/>
      <c r="N136" s="251" t="n">
        <v>12.93</v>
      </c>
      <c r="O136" s="252" t="n">
        <v>-0.18</v>
      </c>
      <c r="P136" s="253" t="n">
        <v>13</v>
      </c>
      <c r="Q136" s="220"/>
      <c r="R136" s="251" t="n">
        <v>10.9</v>
      </c>
      <c r="S136" s="252"/>
      <c r="T136" s="254" t="n">
        <v>11</v>
      </c>
      <c r="U136" s="251" t="n">
        <v>16.3</v>
      </c>
      <c r="V136" s="252"/>
      <c r="W136" s="255" t="n">
        <v>2.01</v>
      </c>
      <c r="X136" s="250" t="n">
        <v>5.4</v>
      </c>
      <c r="Y136" s="256" t="n">
        <v>1</v>
      </c>
    </row>
    <row r="137" customFormat="false" ht="12.5" hidden="false" customHeight="true" outlineLevel="0" collapsed="false">
      <c r="A137" s="210" t="s">
        <v>1103</v>
      </c>
      <c r="B137" s="211" t="s">
        <v>1121</v>
      </c>
      <c r="C137" s="246" t="s">
        <v>1288</v>
      </c>
      <c r="D137" s="247" t="s">
        <v>1062</v>
      </c>
      <c r="E137" s="248"/>
      <c r="F137" s="248" t="n">
        <v>8.16</v>
      </c>
      <c r="G137" s="249" t="n">
        <v>18</v>
      </c>
      <c r="H137" s="249"/>
      <c r="I137" s="249" t="n">
        <v>10.67</v>
      </c>
      <c r="J137" s="250" t="n">
        <v>-7.33</v>
      </c>
      <c r="K137" s="249"/>
      <c r="L137" s="249"/>
      <c r="M137" s="249"/>
      <c r="N137" s="251" t="n">
        <v>2.51</v>
      </c>
      <c r="O137" s="252" t="n">
        <v>0.92</v>
      </c>
      <c r="P137" s="253" t="n">
        <v>2</v>
      </c>
      <c r="Q137" s="220"/>
      <c r="R137" s="251" t="n">
        <v>4</v>
      </c>
      <c r="S137" s="252" t="n">
        <v>2</v>
      </c>
      <c r="T137" s="254" t="n">
        <v>11.77</v>
      </c>
      <c r="U137" s="251" t="n">
        <v>2</v>
      </c>
      <c r="V137" s="252"/>
      <c r="W137" s="255" t="n">
        <v>1</v>
      </c>
      <c r="X137" s="250" t="n">
        <v>-2</v>
      </c>
      <c r="Y137" s="256"/>
    </row>
    <row r="138" customFormat="false" ht="12.5" hidden="false" customHeight="true" outlineLevel="0" collapsed="false">
      <c r="A138" s="210" t="s">
        <v>1103</v>
      </c>
      <c r="B138" s="211" t="s">
        <v>1121</v>
      </c>
      <c r="C138" s="246" t="s">
        <v>1289</v>
      </c>
      <c r="D138" s="247" t="s">
        <v>985</v>
      </c>
      <c r="E138" s="248"/>
      <c r="F138" s="248" t="n">
        <v>444.59</v>
      </c>
      <c r="G138" s="249" t="n">
        <v>522.5</v>
      </c>
      <c r="H138" s="249"/>
      <c r="I138" s="249" t="n">
        <v>467.88</v>
      </c>
      <c r="J138" s="250" t="n">
        <v>-54.62</v>
      </c>
      <c r="K138" s="249"/>
      <c r="L138" s="249"/>
      <c r="M138" s="249"/>
      <c r="N138" s="251" t="n">
        <v>23.29</v>
      </c>
      <c r="O138" s="252" t="n">
        <v>12.41</v>
      </c>
      <c r="P138" s="253" t="n">
        <v>11</v>
      </c>
      <c r="Q138" s="220"/>
      <c r="R138" s="251" t="n">
        <v>164.3</v>
      </c>
      <c r="S138" s="252" t="n">
        <v>3</v>
      </c>
      <c r="T138" s="254" t="n">
        <v>6.49</v>
      </c>
      <c r="U138" s="251" t="n">
        <v>191.1</v>
      </c>
      <c r="V138" s="252"/>
      <c r="W138" s="255" t="n">
        <v>6.72</v>
      </c>
      <c r="X138" s="250" t="n">
        <v>26.8</v>
      </c>
      <c r="Y138" s="256" t="n">
        <v>20</v>
      </c>
    </row>
    <row r="139" customFormat="false" ht="12.5" hidden="false" customHeight="true" outlineLevel="0" collapsed="false">
      <c r="A139" s="210" t="s">
        <v>18</v>
      </c>
      <c r="B139" s="211" t="s">
        <v>1121</v>
      </c>
      <c r="C139" s="224" t="s">
        <v>1290</v>
      </c>
      <c r="D139" s="225" t="s">
        <v>1291</v>
      </c>
      <c r="E139" s="226" t="n">
        <v>-20.74</v>
      </c>
      <c r="F139" s="226" t="n">
        <v>35162.44</v>
      </c>
      <c r="G139" s="227" t="n">
        <v>35460.3</v>
      </c>
      <c r="H139" s="227" t="n">
        <v>-59.36</v>
      </c>
      <c r="I139" s="227" t="n">
        <v>35091.95</v>
      </c>
      <c r="J139" s="228" t="n">
        <v>-308.989999999998</v>
      </c>
      <c r="K139" s="227"/>
      <c r="L139" s="227" t="n">
        <v>-271.2</v>
      </c>
      <c r="M139" s="227" t="n">
        <v>97.05</v>
      </c>
      <c r="N139" s="229" t="n">
        <v>142.280000000001</v>
      </c>
      <c r="O139" s="230" t="n">
        <v>285.68</v>
      </c>
      <c r="P139" s="231" t="n">
        <v>-144</v>
      </c>
      <c r="Q139" s="220"/>
      <c r="R139" s="229" t="n">
        <v>3456</v>
      </c>
      <c r="S139" s="230" t="n">
        <v>1047</v>
      </c>
      <c r="T139" s="232"/>
      <c r="U139" s="229" t="n">
        <v>3578</v>
      </c>
      <c r="V139" s="230" t="n">
        <v>2698.5</v>
      </c>
      <c r="W139" s="233"/>
      <c r="X139" s="228" t="n">
        <v>122</v>
      </c>
      <c r="Y139" s="234" t="n">
        <v>317</v>
      </c>
    </row>
    <row r="140" customFormat="false" ht="12.5" hidden="false" customHeight="true" outlineLevel="0" collapsed="false">
      <c r="A140" s="210" t="s">
        <v>20</v>
      </c>
      <c r="B140" s="211" t="s">
        <v>1121</v>
      </c>
      <c r="C140" s="235" t="n">
        <v>181</v>
      </c>
      <c r="D140" s="236" t="s">
        <v>1292</v>
      </c>
      <c r="E140" s="237"/>
      <c r="F140" s="237" t="n">
        <v>442.34</v>
      </c>
      <c r="G140" s="238" t="n">
        <v>470</v>
      </c>
      <c r="H140" s="238"/>
      <c r="I140" s="238" t="n">
        <v>462.49</v>
      </c>
      <c r="J140" s="239" t="n">
        <v>-7.50999999999999</v>
      </c>
      <c r="K140" s="238"/>
      <c r="L140" s="238" t="n">
        <v>6</v>
      </c>
      <c r="M140" s="238"/>
      <c r="N140" s="240" t="n">
        <v>14.15</v>
      </c>
      <c r="O140" s="241" t="n">
        <v>7.69</v>
      </c>
      <c r="P140" s="242" t="n">
        <v>6</v>
      </c>
      <c r="Q140" s="220"/>
      <c r="R140" s="240" t="n">
        <v>61.5</v>
      </c>
      <c r="S140" s="241" t="n">
        <v>12</v>
      </c>
      <c r="T140" s="243"/>
      <c r="U140" s="240" t="n">
        <v>79.5</v>
      </c>
      <c r="V140" s="241"/>
      <c r="W140" s="244"/>
      <c r="X140" s="239" t="n">
        <v>18</v>
      </c>
      <c r="Y140" s="245" t="n">
        <v>10</v>
      </c>
    </row>
    <row r="141" customFormat="false" ht="12.5" hidden="false" customHeight="true" outlineLevel="0" collapsed="false">
      <c r="A141" s="210" t="s">
        <v>1103</v>
      </c>
      <c r="B141" s="211" t="s">
        <v>1121</v>
      </c>
      <c r="C141" s="246" t="s">
        <v>1293</v>
      </c>
      <c r="D141" s="247" t="s">
        <v>1060</v>
      </c>
      <c r="E141" s="248"/>
      <c r="F141" s="248" t="n">
        <v>380.99</v>
      </c>
      <c r="G141" s="249" t="n">
        <v>405</v>
      </c>
      <c r="H141" s="249"/>
      <c r="I141" s="249" t="n">
        <v>394.24</v>
      </c>
      <c r="J141" s="250" t="n">
        <v>-10.76</v>
      </c>
      <c r="K141" s="249"/>
      <c r="L141" s="249" t="n">
        <v>6</v>
      </c>
      <c r="M141" s="249"/>
      <c r="N141" s="251" t="n">
        <v>7.25</v>
      </c>
      <c r="O141" s="252" t="n">
        <v>6.85</v>
      </c>
      <c r="P141" s="253"/>
      <c r="Q141" s="220"/>
      <c r="R141" s="251" t="n">
        <v>49</v>
      </c>
      <c r="S141" s="252" t="n">
        <v>7</v>
      </c>
      <c r="T141" s="254" t="n">
        <v>5.8</v>
      </c>
      <c r="U141" s="251" t="n">
        <v>60</v>
      </c>
      <c r="V141" s="252"/>
      <c r="W141" s="255" t="n">
        <v>7.04</v>
      </c>
      <c r="X141" s="250" t="n">
        <v>11</v>
      </c>
      <c r="Y141" s="256" t="n">
        <v>10</v>
      </c>
    </row>
    <row r="142" customFormat="false" ht="12.5" hidden="false" customHeight="true" outlineLevel="0" collapsed="false">
      <c r="A142" s="210" t="s">
        <v>1103</v>
      </c>
      <c r="B142" s="211" t="s">
        <v>1121</v>
      </c>
      <c r="C142" s="246" t="s">
        <v>1294</v>
      </c>
      <c r="D142" s="247" t="s">
        <v>1061</v>
      </c>
      <c r="E142" s="248"/>
      <c r="F142" s="248" t="n">
        <v>35.82</v>
      </c>
      <c r="G142" s="249" t="n">
        <v>35</v>
      </c>
      <c r="H142" s="249"/>
      <c r="I142" s="249" t="n">
        <v>41.86</v>
      </c>
      <c r="J142" s="250" t="n">
        <v>6.86</v>
      </c>
      <c r="K142" s="249"/>
      <c r="L142" s="249"/>
      <c r="M142" s="249"/>
      <c r="N142" s="251" t="n">
        <v>6.04</v>
      </c>
      <c r="O142" s="252" t="n">
        <v>0.34</v>
      </c>
      <c r="P142" s="253" t="n">
        <v>6</v>
      </c>
      <c r="Q142" s="220"/>
      <c r="R142" s="251" t="n">
        <v>7</v>
      </c>
      <c r="S142" s="252" t="n">
        <v>4</v>
      </c>
      <c r="T142" s="254" t="n">
        <v>7.7</v>
      </c>
      <c r="U142" s="251" t="n">
        <v>12</v>
      </c>
      <c r="V142" s="252"/>
      <c r="W142" s="255" t="n">
        <v>4.21</v>
      </c>
      <c r="X142" s="250" t="n">
        <v>5</v>
      </c>
      <c r="Y142" s="256"/>
    </row>
    <row r="143" customFormat="false" ht="12.5" hidden="false" customHeight="true" outlineLevel="0" collapsed="false">
      <c r="A143" s="210" t="s">
        <v>1103</v>
      </c>
      <c r="B143" s="211" t="s">
        <v>1121</v>
      </c>
      <c r="C143" s="246" t="s">
        <v>1295</v>
      </c>
      <c r="D143" s="247" t="s">
        <v>1062</v>
      </c>
      <c r="E143" s="248"/>
      <c r="F143" s="248" t="n">
        <v>25.53</v>
      </c>
      <c r="G143" s="249" t="n">
        <v>30</v>
      </c>
      <c r="H143" s="249"/>
      <c r="I143" s="249" t="n">
        <v>26.39</v>
      </c>
      <c r="J143" s="250" t="n">
        <v>-3.61</v>
      </c>
      <c r="K143" s="249"/>
      <c r="L143" s="249"/>
      <c r="M143" s="249"/>
      <c r="N143" s="251" t="n">
        <v>0.859999999999999</v>
      </c>
      <c r="O143" s="252" t="n">
        <v>0.5</v>
      </c>
      <c r="P143" s="253"/>
      <c r="Q143" s="220"/>
      <c r="R143" s="251" t="n">
        <v>5.5</v>
      </c>
      <c r="S143" s="252" t="n">
        <v>1</v>
      </c>
      <c r="T143" s="254" t="n">
        <v>6.9</v>
      </c>
      <c r="U143" s="251" t="n">
        <v>7.5</v>
      </c>
      <c r="V143" s="252"/>
      <c r="W143" s="255" t="n">
        <v>7.95</v>
      </c>
      <c r="X143" s="250" t="n">
        <v>2</v>
      </c>
      <c r="Y143" s="256"/>
    </row>
    <row r="144" customFormat="false" ht="12.5" hidden="false" customHeight="true" outlineLevel="0" collapsed="false">
      <c r="A144" s="210" t="s">
        <v>20</v>
      </c>
      <c r="B144" s="211" t="s">
        <v>1121</v>
      </c>
      <c r="C144" s="235" t="n">
        <v>217</v>
      </c>
      <c r="D144" s="236" t="s">
        <v>1296</v>
      </c>
      <c r="E144" s="237" t="n">
        <v>-20.74</v>
      </c>
      <c r="F144" s="237" t="n">
        <v>34720.1</v>
      </c>
      <c r="G144" s="238" t="n">
        <v>34990.3</v>
      </c>
      <c r="H144" s="238" t="n">
        <v>-59.36</v>
      </c>
      <c r="I144" s="238" t="n">
        <v>34629.46</v>
      </c>
      <c r="J144" s="239" t="n">
        <v>-301.479999999998</v>
      </c>
      <c r="K144" s="238"/>
      <c r="L144" s="238" t="n">
        <v>-277.2</v>
      </c>
      <c r="M144" s="238" t="n">
        <v>97.05</v>
      </c>
      <c r="N144" s="240" t="n">
        <v>128.130000000001</v>
      </c>
      <c r="O144" s="241" t="n">
        <v>277.99</v>
      </c>
      <c r="P144" s="242" t="n">
        <v>-150</v>
      </c>
      <c r="Q144" s="220"/>
      <c r="R144" s="240" t="n">
        <v>3394.5</v>
      </c>
      <c r="S144" s="241" t="n">
        <v>1035</v>
      </c>
      <c r="T144" s="243"/>
      <c r="U144" s="240" t="n">
        <v>3498.5</v>
      </c>
      <c r="V144" s="241" t="n">
        <v>2698.5</v>
      </c>
      <c r="W144" s="244"/>
      <c r="X144" s="239" t="n">
        <v>104</v>
      </c>
      <c r="Y144" s="245" t="n">
        <v>307</v>
      </c>
    </row>
    <row r="145" customFormat="false" ht="12.5" hidden="false" customHeight="true" outlineLevel="0" collapsed="false">
      <c r="A145" s="210" t="s">
        <v>1103</v>
      </c>
      <c r="B145" s="211" t="s">
        <v>1121</v>
      </c>
      <c r="C145" s="246" t="s">
        <v>1297</v>
      </c>
      <c r="D145" s="247" t="s">
        <v>1060</v>
      </c>
      <c r="E145" s="248" t="n">
        <v>0.34</v>
      </c>
      <c r="F145" s="248" t="n">
        <v>12032.28</v>
      </c>
      <c r="G145" s="249" t="n">
        <v>12206.48</v>
      </c>
      <c r="H145" s="249" t="n">
        <v>-4.36</v>
      </c>
      <c r="I145" s="249" t="n">
        <v>12738.12</v>
      </c>
      <c r="J145" s="250" t="n">
        <v>536.000000000002</v>
      </c>
      <c r="K145" s="249"/>
      <c r="L145" s="249" t="n">
        <v>-3</v>
      </c>
      <c r="M145" s="249" t="n">
        <v>375.32</v>
      </c>
      <c r="N145" s="251" t="n">
        <v>338.220000000001</v>
      </c>
      <c r="O145" s="252" t="n">
        <v>196.21</v>
      </c>
      <c r="P145" s="253" t="n">
        <v>142</v>
      </c>
      <c r="Q145" s="220"/>
      <c r="R145" s="251" t="n">
        <v>1234</v>
      </c>
      <c r="S145" s="252" t="n">
        <v>224</v>
      </c>
      <c r="T145" s="254" t="n">
        <v>6.15</v>
      </c>
      <c r="U145" s="251" t="n">
        <v>1592</v>
      </c>
      <c r="V145" s="252" t="n">
        <v>1289</v>
      </c>
      <c r="W145" s="255" t="n">
        <v>6.62</v>
      </c>
      <c r="X145" s="250" t="n">
        <v>358</v>
      </c>
      <c r="Y145" s="256" t="n">
        <v>224</v>
      </c>
    </row>
    <row r="146" customFormat="false" ht="12.5" hidden="false" customHeight="true" outlineLevel="0" collapsed="false">
      <c r="A146" s="210" t="s">
        <v>1103</v>
      </c>
      <c r="B146" s="211" t="s">
        <v>1121</v>
      </c>
      <c r="C146" s="246" t="s">
        <v>1298</v>
      </c>
      <c r="D146" s="247" t="s">
        <v>1061</v>
      </c>
      <c r="E146" s="248" t="n">
        <v>-12</v>
      </c>
      <c r="F146" s="248" t="n">
        <v>13160</v>
      </c>
      <c r="G146" s="249" t="n">
        <v>13369.3</v>
      </c>
      <c r="H146" s="249" t="n">
        <v>-26.08</v>
      </c>
      <c r="I146" s="249" t="n">
        <v>13036.72</v>
      </c>
      <c r="J146" s="250" t="n">
        <v>-306.5</v>
      </c>
      <c r="K146" s="249"/>
      <c r="L146" s="249" t="n">
        <v>-145.24</v>
      </c>
      <c r="M146" s="249" t="n">
        <v>65.37</v>
      </c>
      <c r="N146" s="251" t="n">
        <v>-29.3300000000007</v>
      </c>
      <c r="O146" s="252" t="n">
        <v>109.89</v>
      </c>
      <c r="P146" s="253" t="n">
        <v>-139</v>
      </c>
      <c r="Q146" s="220"/>
      <c r="R146" s="251" t="n">
        <v>1336</v>
      </c>
      <c r="S146" s="252" t="n">
        <v>461</v>
      </c>
      <c r="T146" s="254" t="n">
        <v>6.09</v>
      </c>
      <c r="U146" s="251" t="n">
        <v>1256</v>
      </c>
      <c r="V146" s="252" t="n">
        <v>942</v>
      </c>
      <c r="W146" s="255" t="n">
        <v>6.98</v>
      </c>
      <c r="X146" s="250" t="n">
        <v>-80</v>
      </c>
      <c r="Y146" s="256" t="n">
        <v>83</v>
      </c>
    </row>
    <row r="147" customFormat="false" ht="12.5" hidden="false" customHeight="true" outlineLevel="0" collapsed="false">
      <c r="A147" s="210" t="s">
        <v>1103</v>
      </c>
      <c r="B147" s="211" t="s">
        <v>1121</v>
      </c>
      <c r="C147" s="246" t="s">
        <v>1299</v>
      </c>
      <c r="D147" s="247" t="s">
        <v>1062</v>
      </c>
      <c r="E147" s="248" t="n">
        <v>-9.08</v>
      </c>
      <c r="F147" s="248" t="n">
        <v>9527.82</v>
      </c>
      <c r="G147" s="249" t="n">
        <v>9414.52</v>
      </c>
      <c r="H147" s="249" t="n">
        <v>-28.92</v>
      </c>
      <c r="I147" s="249" t="n">
        <v>8854.62</v>
      </c>
      <c r="J147" s="250" t="n">
        <v>-530.98</v>
      </c>
      <c r="K147" s="249"/>
      <c r="L147" s="249" t="n">
        <v>-128.96</v>
      </c>
      <c r="M147" s="249" t="n">
        <v>-343.64</v>
      </c>
      <c r="N147" s="251" t="n">
        <v>-180.759999999999</v>
      </c>
      <c r="O147" s="252" t="n">
        <v>-28.11</v>
      </c>
      <c r="P147" s="253" t="n">
        <v>-153</v>
      </c>
      <c r="Q147" s="220"/>
      <c r="R147" s="251" t="n">
        <v>824.5</v>
      </c>
      <c r="S147" s="252" t="n">
        <v>350</v>
      </c>
      <c r="T147" s="254" t="n">
        <v>5.8</v>
      </c>
      <c r="U147" s="251" t="n">
        <v>650.5</v>
      </c>
      <c r="V147" s="252" t="n">
        <v>467.5</v>
      </c>
      <c r="W147" s="255" t="n">
        <v>6.69</v>
      </c>
      <c r="X147" s="250" t="n">
        <v>-174</v>
      </c>
      <c r="Y147" s="256"/>
    </row>
    <row r="148" customFormat="false" ht="12.5" hidden="false" customHeight="true" outlineLevel="0" collapsed="false">
      <c r="A148" s="210" t="s">
        <v>18</v>
      </c>
      <c r="B148" s="211" t="s">
        <v>1121</v>
      </c>
      <c r="C148" s="224" t="s">
        <v>1300</v>
      </c>
      <c r="D148" s="225" t="s">
        <v>1301</v>
      </c>
      <c r="E148" s="226" t="n">
        <v>3</v>
      </c>
      <c r="F148" s="226" t="n">
        <v>10593.29</v>
      </c>
      <c r="G148" s="227" t="n">
        <v>10929.86</v>
      </c>
      <c r="H148" s="227" t="n">
        <v>2.5</v>
      </c>
      <c r="I148" s="227" t="n">
        <v>10764.44</v>
      </c>
      <c r="J148" s="228" t="n">
        <v>-167.92</v>
      </c>
      <c r="K148" s="227"/>
      <c r="L148" s="227" t="n">
        <v>41</v>
      </c>
      <c r="M148" s="227" t="n">
        <v>-28.5</v>
      </c>
      <c r="N148" s="229" t="n">
        <v>159.15</v>
      </c>
      <c r="O148" s="230" t="n">
        <v>216.22</v>
      </c>
      <c r="P148" s="231" t="n">
        <v>-57</v>
      </c>
      <c r="Q148" s="220"/>
      <c r="R148" s="229" t="n">
        <v>1751</v>
      </c>
      <c r="S148" s="230" t="n">
        <v>362.6</v>
      </c>
      <c r="T148" s="232"/>
      <c r="U148" s="229" t="n">
        <v>1886</v>
      </c>
      <c r="V148" s="230" t="n">
        <v>908.7</v>
      </c>
      <c r="W148" s="233"/>
      <c r="X148" s="228" t="n">
        <v>135</v>
      </c>
      <c r="Y148" s="234" t="n">
        <v>11</v>
      </c>
    </row>
    <row r="149" customFormat="false" ht="12.5" hidden="false" customHeight="true" outlineLevel="0" collapsed="false">
      <c r="A149" s="210" t="s">
        <v>20</v>
      </c>
      <c r="B149" s="211" t="s">
        <v>1121</v>
      </c>
      <c r="C149" s="235" t="n">
        <v>134</v>
      </c>
      <c r="D149" s="236" t="s">
        <v>1302</v>
      </c>
      <c r="E149" s="237" t="n">
        <v>3</v>
      </c>
      <c r="F149" s="237" t="n">
        <v>4415.88</v>
      </c>
      <c r="G149" s="238" t="n">
        <v>4602.86</v>
      </c>
      <c r="H149" s="238" t="n">
        <v>2.5</v>
      </c>
      <c r="I149" s="238" t="n">
        <v>4551.78</v>
      </c>
      <c r="J149" s="239" t="n">
        <v>-53.5800000000001</v>
      </c>
      <c r="K149" s="238"/>
      <c r="L149" s="238" t="n">
        <v>38</v>
      </c>
      <c r="M149" s="238" t="n">
        <v>-27.91</v>
      </c>
      <c r="N149" s="240" t="n">
        <v>126.31</v>
      </c>
      <c r="O149" s="241" t="n">
        <v>101.9</v>
      </c>
      <c r="P149" s="242" t="n">
        <v>25</v>
      </c>
      <c r="Q149" s="220"/>
      <c r="R149" s="240" t="n">
        <v>621.1</v>
      </c>
      <c r="S149" s="241" t="n">
        <v>133.2</v>
      </c>
      <c r="T149" s="243"/>
      <c r="U149" s="240" t="n">
        <v>689.5</v>
      </c>
      <c r="V149" s="241" t="n">
        <v>206</v>
      </c>
      <c r="W149" s="244"/>
      <c r="X149" s="239" t="n">
        <v>68.4</v>
      </c>
      <c r="Y149" s="245" t="n">
        <v>11</v>
      </c>
    </row>
    <row r="150" customFormat="false" ht="12.5" hidden="false" customHeight="true" outlineLevel="0" collapsed="false">
      <c r="A150" s="210" t="s">
        <v>1103</v>
      </c>
      <c r="B150" s="211" t="s">
        <v>1121</v>
      </c>
      <c r="C150" s="246" t="s">
        <v>1303</v>
      </c>
      <c r="D150" s="247" t="s">
        <v>1116</v>
      </c>
      <c r="E150" s="248" t="n">
        <v>2</v>
      </c>
      <c r="F150" s="248" t="n">
        <v>595.61</v>
      </c>
      <c r="G150" s="249" t="n">
        <v>652.55</v>
      </c>
      <c r="H150" s="249"/>
      <c r="I150" s="249" t="n">
        <v>656.88</v>
      </c>
      <c r="J150" s="250" t="n">
        <v>4.33000000000004</v>
      </c>
      <c r="K150" s="249"/>
      <c r="L150" s="249" t="n">
        <v>1</v>
      </c>
      <c r="M150" s="249" t="n">
        <v>21.83</v>
      </c>
      <c r="N150" s="251" t="n">
        <v>40.44</v>
      </c>
      <c r="O150" s="252" t="n">
        <v>20.82</v>
      </c>
      <c r="P150" s="253" t="n">
        <v>20</v>
      </c>
      <c r="Q150" s="220"/>
      <c r="R150" s="251" t="n">
        <v>155.1</v>
      </c>
      <c r="S150" s="252" t="n">
        <v>11</v>
      </c>
      <c r="T150" s="254" t="n">
        <v>7.15</v>
      </c>
      <c r="U150" s="251" t="n">
        <v>189.2</v>
      </c>
      <c r="V150" s="252" t="n">
        <v>29</v>
      </c>
      <c r="W150" s="255" t="n">
        <v>6.96</v>
      </c>
      <c r="X150" s="250" t="n">
        <v>34.1</v>
      </c>
      <c r="Y150" s="256" t="n">
        <v>6</v>
      </c>
    </row>
    <row r="151" customFormat="false" ht="12.5" hidden="false" customHeight="true" outlineLevel="0" collapsed="false">
      <c r="A151" s="210" t="s">
        <v>1103</v>
      </c>
      <c r="B151" s="211" t="s">
        <v>1121</v>
      </c>
      <c r="C151" s="246" t="s">
        <v>1304</v>
      </c>
      <c r="D151" s="247" t="s">
        <v>1060</v>
      </c>
      <c r="E151" s="248" t="n">
        <v>1</v>
      </c>
      <c r="F151" s="248" t="n">
        <v>3013.79</v>
      </c>
      <c r="G151" s="249" t="n">
        <v>3072.4</v>
      </c>
      <c r="H151" s="249" t="n">
        <v>3</v>
      </c>
      <c r="I151" s="249" t="n">
        <v>3186.39</v>
      </c>
      <c r="J151" s="250" t="n">
        <v>110.99</v>
      </c>
      <c r="K151" s="249"/>
      <c r="L151" s="249" t="n">
        <v>39</v>
      </c>
      <c r="M151" s="249" t="n">
        <v>6.6</v>
      </c>
      <c r="N151" s="251" t="n">
        <v>125</v>
      </c>
      <c r="O151" s="252" t="n">
        <v>90.78</v>
      </c>
      <c r="P151" s="253" t="n">
        <v>34</v>
      </c>
      <c r="Q151" s="220"/>
      <c r="R151" s="251" t="n">
        <v>315.7</v>
      </c>
      <c r="S151" s="252" t="n">
        <v>67.9</v>
      </c>
      <c r="T151" s="254" t="n">
        <v>6.74</v>
      </c>
      <c r="U151" s="251" t="n">
        <v>417.3</v>
      </c>
      <c r="V151" s="252" t="n">
        <v>177</v>
      </c>
      <c r="W151" s="255" t="n">
        <v>7.28</v>
      </c>
      <c r="X151" s="250" t="n">
        <v>101.6</v>
      </c>
      <c r="Y151" s="256" t="n">
        <v>40</v>
      </c>
    </row>
    <row r="152" customFormat="false" ht="12.5" hidden="false" customHeight="true" outlineLevel="0" collapsed="false">
      <c r="A152" s="210" t="s">
        <v>1103</v>
      </c>
      <c r="B152" s="211" t="s">
        <v>1121</v>
      </c>
      <c r="C152" s="246" t="s">
        <v>1305</v>
      </c>
      <c r="D152" s="247" t="s">
        <v>1061</v>
      </c>
      <c r="E152" s="248"/>
      <c r="F152" s="248" t="n">
        <v>674.01</v>
      </c>
      <c r="G152" s="249" t="n">
        <v>755.03</v>
      </c>
      <c r="H152" s="249" t="n">
        <v>-0.5</v>
      </c>
      <c r="I152" s="249" t="n">
        <v>592.35</v>
      </c>
      <c r="J152" s="250" t="n">
        <v>-162.18</v>
      </c>
      <c r="K152" s="249"/>
      <c r="L152" s="249" t="n">
        <v>-2</v>
      </c>
      <c r="M152" s="249" t="n">
        <v>-43.67</v>
      </c>
      <c r="N152" s="251" t="n">
        <v>-35.49</v>
      </c>
      <c r="O152" s="252" t="n">
        <v>-10.48</v>
      </c>
      <c r="P152" s="253" t="n">
        <v>-25</v>
      </c>
      <c r="Q152" s="220"/>
      <c r="R152" s="251" t="n">
        <v>118.2</v>
      </c>
      <c r="S152" s="252" t="n">
        <v>47.5</v>
      </c>
      <c r="T152" s="254" t="n">
        <v>6.77</v>
      </c>
      <c r="U152" s="251" t="n">
        <v>62.5</v>
      </c>
      <c r="V152" s="252"/>
      <c r="W152" s="255" t="n">
        <v>6.02</v>
      </c>
      <c r="X152" s="250" t="n">
        <v>-55.7</v>
      </c>
      <c r="Y152" s="256" t="n">
        <v>-29</v>
      </c>
    </row>
    <row r="153" customFormat="false" ht="12.5" hidden="false" customHeight="true" outlineLevel="0" collapsed="false">
      <c r="A153" s="210" t="s">
        <v>1103</v>
      </c>
      <c r="B153" s="211" t="s">
        <v>1121</v>
      </c>
      <c r="C153" s="246" t="s">
        <v>1306</v>
      </c>
      <c r="D153" s="247" t="s">
        <v>1062</v>
      </c>
      <c r="E153" s="248"/>
      <c r="F153" s="248" t="n">
        <v>132.47</v>
      </c>
      <c r="G153" s="249" t="n">
        <v>122.88</v>
      </c>
      <c r="H153" s="249"/>
      <c r="I153" s="249" t="n">
        <v>116.16</v>
      </c>
      <c r="J153" s="250" t="n">
        <v>-6.72</v>
      </c>
      <c r="K153" s="249"/>
      <c r="L153" s="249"/>
      <c r="M153" s="249" t="n">
        <v>-12.67</v>
      </c>
      <c r="N153" s="251" t="n">
        <v>-3.64</v>
      </c>
      <c r="O153" s="252" t="n">
        <v>0.78</v>
      </c>
      <c r="P153" s="253" t="n">
        <v>-4</v>
      </c>
      <c r="Q153" s="220"/>
      <c r="R153" s="251" t="n">
        <v>32.1</v>
      </c>
      <c r="S153" s="252" t="n">
        <v>6.8</v>
      </c>
      <c r="T153" s="254" t="n">
        <v>6.62</v>
      </c>
      <c r="U153" s="251" t="n">
        <v>20.5</v>
      </c>
      <c r="V153" s="252"/>
      <c r="W153" s="255" t="n">
        <v>5.6</v>
      </c>
      <c r="X153" s="250" t="n">
        <v>-11.6</v>
      </c>
      <c r="Y153" s="256" t="n">
        <v>-6</v>
      </c>
    </row>
    <row r="154" customFormat="false" ht="12.5" hidden="false" customHeight="true" outlineLevel="0" collapsed="false">
      <c r="A154" s="210" t="s">
        <v>20</v>
      </c>
      <c r="B154" s="211" t="s">
        <v>1121</v>
      </c>
      <c r="C154" s="235" t="n">
        <v>220</v>
      </c>
      <c r="D154" s="236" t="s">
        <v>1307</v>
      </c>
      <c r="E154" s="237"/>
      <c r="F154" s="237" t="n">
        <v>4937.97</v>
      </c>
      <c r="G154" s="238" t="n">
        <v>5040</v>
      </c>
      <c r="H154" s="238"/>
      <c r="I154" s="238" t="n">
        <v>4924.72</v>
      </c>
      <c r="J154" s="239" t="n">
        <v>-115.28</v>
      </c>
      <c r="K154" s="238"/>
      <c r="L154" s="238" t="n">
        <v>3</v>
      </c>
      <c r="M154" s="238" t="n">
        <v>0.00999999999999999</v>
      </c>
      <c r="N154" s="240" t="n">
        <v>-16.2599999999998</v>
      </c>
      <c r="O154" s="241" t="n">
        <v>63.05</v>
      </c>
      <c r="P154" s="242" t="n">
        <v>-79</v>
      </c>
      <c r="Q154" s="220"/>
      <c r="R154" s="240" t="n">
        <v>769.9</v>
      </c>
      <c r="S154" s="241" t="n">
        <v>197.4</v>
      </c>
      <c r="T154" s="243"/>
      <c r="U154" s="240" t="n">
        <v>834.5</v>
      </c>
      <c r="V154" s="241" t="n">
        <v>472.7</v>
      </c>
      <c r="W154" s="244"/>
      <c r="X154" s="239" t="n">
        <v>64.6</v>
      </c>
      <c r="Y154" s="245" t="n">
        <v>-2</v>
      </c>
    </row>
    <row r="155" customFormat="false" ht="12.5" hidden="false" customHeight="true" outlineLevel="0" collapsed="false">
      <c r="A155" s="210" t="s">
        <v>1103</v>
      </c>
      <c r="B155" s="211" t="s">
        <v>1121</v>
      </c>
      <c r="C155" s="246" t="s">
        <v>1308</v>
      </c>
      <c r="D155" s="247" t="s">
        <v>1116</v>
      </c>
      <c r="E155" s="248"/>
      <c r="F155" s="248" t="n">
        <v>345.66</v>
      </c>
      <c r="G155" s="249" t="n">
        <v>360</v>
      </c>
      <c r="H155" s="249"/>
      <c r="I155" s="249" t="n">
        <v>345.37</v>
      </c>
      <c r="J155" s="250" t="n">
        <v>-14.63</v>
      </c>
      <c r="K155" s="249"/>
      <c r="L155" s="249"/>
      <c r="M155" s="249" t="n">
        <v>0.06</v>
      </c>
      <c r="N155" s="251" t="n">
        <v>-0.35000000000002</v>
      </c>
      <c r="O155" s="252" t="n">
        <v>1.67</v>
      </c>
      <c r="P155" s="253" t="n">
        <v>-2</v>
      </c>
      <c r="Q155" s="220"/>
      <c r="R155" s="251" t="n">
        <v>78</v>
      </c>
      <c r="S155" s="252" t="n">
        <v>24.2</v>
      </c>
      <c r="T155" s="254" t="n">
        <v>8</v>
      </c>
      <c r="U155" s="251" t="n">
        <v>63.6</v>
      </c>
      <c r="V155" s="252" t="n">
        <v>25</v>
      </c>
      <c r="W155" s="255" t="n">
        <v>7.25</v>
      </c>
      <c r="X155" s="250" t="n">
        <v>-14.4</v>
      </c>
      <c r="Y155" s="256" t="n">
        <v>-10</v>
      </c>
    </row>
    <row r="156" customFormat="false" ht="12.5" hidden="false" customHeight="true" outlineLevel="0" collapsed="false">
      <c r="A156" s="210" t="s">
        <v>1103</v>
      </c>
      <c r="B156" s="211" t="s">
        <v>1121</v>
      </c>
      <c r="C156" s="246" t="s">
        <v>1309</v>
      </c>
      <c r="D156" s="247" t="s">
        <v>1060</v>
      </c>
      <c r="E156" s="248"/>
      <c r="F156" s="248" t="n">
        <v>1537.62</v>
      </c>
      <c r="G156" s="249" t="n">
        <v>1300</v>
      </c>
      <c r="H156" s="249"/>
      <c r="I156" s="249" t="n">
        <v>1572.19</v>
      </c>
      <c r="J156" s="250" t="n">
        <v>272.19</v>
      </c>
      <c r="K156" s="249"/>
      <c r="L156" s="249" t="n">
        <v>3</v>
      </c>
      <c r="M156" s="249" t="n">
        <v>0.06</v>
      </c>
      <c r="N156" s="251" t="n">
        <v>31.5100000000002</v>
      </c>
      <c r="O156" s="252" t="n">
        <v>-30.15</v>
      </c>
      <c r="P156" s="253" t="n">
        <v>62</v>
      </c>
      <c r="Q156" s="220"/>
      <c r="R156" s="251" t="n">
        <v>133</v>
      </c>
      <c r="S156" s="252" t="n">
        <v>37</v>
      </c>
      <c r="T156" s="254" t="n">
        <v>10.38</v>
      </c>
      <c r="U156" s="251" t="n">
        <v>202.3</v>
      </c>
      <c r="V156" s="252" t="n">
        <v>80</v>
      </c>
      <c r="W156" s="255" t="n">
        <v>7.62</v>
      </c>
      <c r="X156" s="250" t="n">
        <v>69.3</v>
      </c>
      <c r="Y156" s="256" t="n">
        <v>21</v>
      </c>
    </row>
    <row r="157" customFormat="false" ht="12.5" hidden="false" customHeight="true" outlineLevel="0" collapsed="false">
      <c r="A157" s="210" t="s">
        <v>1103</v>
      </c>
      <c r="B157" s="211" t="s">
        <v>1121</v>
      </c>
      <c r="C157" s="246" t="s">
        <v>1310</v>
      </c>
      <c r="D157" s="247" t="s">
        <v>1061</v>
      </c>
      <c r="E157" s="248"/>
      <c r="F157" s="248" t="n">
        <v>1982.12</v>
      </c>
      <c r="G157" s="249" t="n">
        <v>1921</v>
      </c>
      <c r="H157" s="249"/>
      <c r="I157" s="249" t="n">
        <v>1983.37</v>
      </c>
      <c r="J157" s="250" t="n">
        <v>62.3699999999999</v>
      </c>
      <c r="K157" s="249"/>
      <c r="L157" s="249"/>
      <c r="M157" s="249" t="n">
        <v>-0.01</v>
      </c>
      <c r="N157" s="251" t="n">
        <v>1.26</v>
      </c>
      <c r="O157" s="252" t="n">
        <v>48.29</v>
      </c>
      <c r="P157" s="253" t="n">
        <v>-47</v>
      </c>
      <c r="Q157" s="220"/>
      <c r="R157" s="251" t="n">
        <v>270.7</v>
      </c>
      <c r="S157" s="252" t="n">
        <v>89.6</v>
      </c>
      <c r="T157" s="254" t="n">
        <v>4.89</v>
      </c>
      <c r="U157" s="251" t="n">
        <v>329.5</v>
      </c>
      <c r="V157" s="252" t="n">
        <v>169.5</v>
      </c>
      <c r="W157" s="255" t="n">
        <v>8.05</v>
      </c>
      <c r="X157" s="250" t="n">
        <v>58.8</v>
      </c>
      <c r="Y157" s="256" t="n">
        <v>-40</v>
      </c>
    </row>
    <row r="158" customFormat="false" ht="12.5" hidden="false" customHeight="true" outlineLevel="0" collapsed="false">
      <c r="A158" s="210" t="s">
        <v>1103</v>
      </c>
      <c r="B158" s="211" t="s">
        <v>1121</v>
      </c>
      <c r="C158" s="246" t="s">
        <v>1311</v>
      </c>
      <c r="D158" s="247" t="s">
        <v>1062</v>
      </c>
      <c r="E158" s="248"/>
      <c r="F158" s="248" t="n">
        <v>1072.57</v>
      </c>
      <c r="G158" s="249" t="n">
        <v>1459</v>
      </c>
      <c r="H158" s="249"/>
      <c r="I158" s="249" t="n">
        <v>1023.79</v>
      </c>
      <c r="J158" s="250" t="n">
        <v>-435.21</v>
      </c>
      <c r="K158" s="249"/>
      <c r="L158" s="249"/>
      <c r="M158" s="249" t="n">
        <v>-0.1</v>
      </c>
      <c r="N158" s="251" t="n">
        <v>-48.68</v>
      </c>
      <c r="O158" s="252" t="n">
        <v>43.24</v>
      </c>
      <c r="P158" s="253" t="n">
        <v>-92</v>
      </c>
      <c r="Q158" s="220"/>
      <c r="R158" s="251" t="n">
        <v>288.2</v>
      </c>
      <c r="S158" s="252" t="n">
        <v>46.6</v>
      </c>
      <c r="T158" s="254" t="n">
        <v>5.68</v>
      </c>
      <c r="U158" s="251" t="n">
        <v>239.1</v>
      </c>
      <c r="V158" s="252" t="n">
        <v>198.2</v>
      </c>
      <c r="W158" s="255" t="n">
        <v>8.79</v>
      </c>
      <c r="X158" s="250" t="n">
        <v>-49.1</v>
      </c>
      <c r="Y158" s="256" t="n">
        <v>27</v>
      </c>
    </row>
    <row r="159" customFormat="false" ht="12.5" hidden="false" customHeight="true" outlineLevel="0" collapsed="false">
      <c r="A159" s="210" t="s">
        <v>20</v>
      </c>
      <c r="B159" s="211" t="s">
        <v>1121</v>
      </c>
      <c r="C159" s="235" t="n">
        <v>305</v>
      </c>
      <c r="D159" s="236" t="s">
        <v>1312</v>
      </c>
      <c r="E159" s="237"/>
      <c r="F159" s="237" t="n">
        <v>1239.44</v>
      </c>
      <c r="G159" s="238" t="n">
        <v>1287</v>
      </c>
      <c r="H159" s="238"/>
      <c r="I159" s="238" t="n">
        <v>1287.94</v>
      </c>
      <c r="J159" s="239" t="n">
        <v>0.939999999999998</v>
      </c>
      <c r="K159" s="238"/>
      <c r="L159" s="238"/>
      <c r="M159" s="238" t="n">
        <v>-0.6</v>
      </c>
      <c r="N159" s="240" t="n">
        <v>49.1</v>
      </c>
      <c r="O159" s="241" t="n">
        <v>51.27</v>
      </c>
      <c r="P159" s="242" t="n">
        <v>-3</v>
      </c>
      <c r="Q159" s="220"/>
      <c r="R159" s="240" t="n">
        <v>360</v>
      </c>
      <c r="S159" s="241" t="n">
        <v>32</v>
      </c>
      <c r="T159" s="243"/>
      <c r="U159" s="240" t="n">
        <v>362</v>
      </c>
      <c r="V159" s="241" t="n">
        <v>230</v>
      </c>
      <c r="W159" s="244"/>
      <c r="X159" s="239" t="n">
        <v>2.00000000000001</v>
      </c>
      <c r="Y159" s="245" t="n">
        <v>2</v>
      </c>
    </row>
    <row r="160" customFormat="false" ht="12.5" hidden="false" customHeight="true" outlineLevel="0" collapsed="false">
      <c r="A160" s="210" t="s">
        <v>1103</v>
      </c>
      <c r="B160" s="211" t="s">
        <v>1121</v>
      </c>
      <c r="C160" s="246" t="s">
        <v>1313</v>
      </c>
      <c r="D160" s="247" t="s">
        <v>1116</v>
      </c>
      <c r="E160" s="248"/>
      <c r="F160" s="248" t="n">
        <v>457.14</v>
      </c>
      <c r="G160" s="249" t="n">
        <v>522</v>
      </c>
      <c r="H160" s="249"/>
      <c r="I160" s="249" t="n">
        <v>487.32</v>
      </c>
      <c r="J160" s="250" t="n">
        <v>-34.68</v>
      </c>
      <c r="K160" s="249"/>
      <c r="L160" s="249"/>
      <c r="M160" s="249" t="n">
        <v>1.2</v>
      </c>
      <c r="N160" s="251" t="n">
        <v>28.98</v>
      </c>
      <c r="O160" s="252" t="n">
        <v>27.81</v>
      </c>
      <c r="P160" s="253" t="n">
        <v>1</v>
      </c>
      <c r="Q160" s="220"/>
      <c r="R160" s="251" t="n">
        <v>132.1</v>
      </c>
      <c r="S160" s="252" t="n">
        <v>7</v>
      </c>
      <c r="T160" s="254" t="n">
        <v>8.44</v>
      </c>
      <c r="U160" s="251" t="n">
        <v>134</v>
      </c>
      <c r="V160" s="252" t="n">
        <v>74</v>
      </c>
      <c r="W160" s="255" t="n">
        <v>8.4</v>
      </c>
      <c r="X160" s="250" t="n">
        <v>1.90000000000001</v>
      </c>
      <c r="Y160" s="256" t="n">
        <v>18</v>
      </c>
    </row>
    <row r="161" customFormat="false" ht="12.5" hidden="false" customHeight="true" outlineLevel="0" collapsed="false">
      <c r="A161" s="210" t="s">
        <v>1103</v>
      </c>
      <c r="B161" s="211" t="s">
        <v>1121</v>
      </c>
      <c r="C161" s="246" t="s">
        <v>1314</v>
      </c>
      <c r="D161" s="247" t="s">
        <v>1060</v>
      </c>
      <c r="E161" s="248"/>
      <c r="F161" s="248" t="n">
        <v>358.95</v>
      </c>
      <c r="G161" s="249" t="n">
        <v>412</v>
      </c>
      <c r="H161" s="249"/>
      <c r="I161" s="249" t="n">
        <v>381.59</v>
      </c>
      <c r="J161" s="250" t="n">
        <v>-30.41</v>
      </c>
      <c r="K161" s="249"/>
      <c r="L161" s="249"/>
      <c r="M161" s="249" t="n">
        <v>-0.92</v>
      </c>
      <c r="N161" s="251" t="n">
        <v>23.56</v>
      </c>
      <c r="O161" s="252" t="n">
        <v>22.08</v>
      </c>
      <c r="P161" s="253" t="n">
        <v>1</v>
      </c>
      <c r="Q161" s="220"/>
      <c r="R161" s="251" t="n">
        <v>111.1</v>
      </c>
      <c r="S161" s="252" t="n">
        <v>7</v>
      </c>
      <c r="T161" s="254" t="n">
        <v>7.52</v>
      </c>
      <c r="U161" s="251" t="n">
        <v>118</v>
      </c>
      <c r="V161" s="252" t="n">
        <v>67</v>
      </c>
      <c r="W161" s="255" t="n">
        <v>7.69</v>
      </c>
      <c r="X161" s="250" t="n">
        <v>6.90000000000001</v>
      </c>
      <c r="Y161" s="256" t="n">
        <v>-2</v>
      </c>
    </row>
    <row r="162" customFormat="false" ht="12.5" hidden="false" customHeight="true" outlineLevel="0" collapsed="false">
      <c r="A162" s="210" t="s">
        <v>1103</v>
      </c>
      <c r="B162" s="211" t="s">
        <v>1121</v>
      </c>
      <c r="C162" s="246" t="s">
        <v>1315</v>
      </c>
      <c r="D162" s="247" t="s">
        <v>1061</v>
      </c>
      <c r="E162" s="248"/>
      <c r="F162" s="248" t="n">
        <v>123.05</v>
      </c>
      <c r="G162" s="249" t="n">
        <v>103</v>
      </c>
      <c r="H162" s="249"/>
      <c r="I162" s="249" t="n">
        <v>121.68</v>
      </c>
      <c r="J162" s="250" t="n">
        <v>18.68</v>
      </c>
      <c r="K162" s="249"/>
      <c r="L162" s="249"/>
      <c r="M162" s="249" t="n">
        <v>0.98</v>
      </c>
      <c r="N162" s="251" t="n">
        <v>-2.34999999999999</v>
      </c>
      <c r="O162" s="252" t="n">
        <v>3.71</v>
      </c>
      <c r="P162" s="253" t="n">
        <v>-6</v>
      </c>
      <c r="Q162" s="220"/>
      <c r="R162" s="251" t="n">
        <v>31.6</v>
      </c>
      <c r="S162" s="252" t="n">
        <v>10</v>
      </c>
      <c r="T162" s="254" t="n">
        <v>6</v>
      </c>
      <c r="U162" s="251" t="n">
        <v>25</v>
      </c>
      <c r="V162" s="252" t="n">
        <v>11</v>
      </c>
      <c r="W162" s="255" t="n">
        <v>7.06</v>
      </c>
      <c r="X162" s="250" t="n">
        <v>-6.6</v>
      </c>
      <c r="Y162" s="256" t="n">
        <v>-5</v>
      </c>
    </row>
    <row r="163" customFormat="false" ht="12.5" hidden="false" customHeight="true" outlineLevel="0" collapsed="false">
      <c r="A163" s="210" t="s">
        <v>1103</v>
      </c>
      <c r="B163" s="211" t="s">
        <v>1121</v>
      </c>
      <c r="C163" s="246" t="s">
        <v>1316</v>
      </c>
      <c r="D163" s="247" t="s">
        <v>1062</v>
      </c>
      <c r="E163" s="248"/>
      <c r="F163" s="248" t="n">
        <v>300.3</v>
      </c>
      <c r="G163" s="249" t="n">
        <v>250</v>
      </c>
      <c r="H163" s="249"/>
      <c r="I163" s="249" t="n">
        <v>297.35</v>
      </c>
      <c r="J163" s="250" t="n">
        <v>47.35</v>
      </c>
      <c r="K163" s="249"/>
      <c r="L163" s="249"/>
      <c r="M163" s="249" t="n">
        <v>-1.86</v>
      </c>
      <c r="N163" s="251" t="n">
        <v>-1.08999999999999</v>
      </c>
      <c r="O163" s="252" t="n">
        <v>-2.33</v>
      </c>
      <c r="P163" s="253" t="n">
        <v>1</v>
      </c>
      <c r="Q163" s="220"/>
      <c r="R163" s="251" t="n">
        <v>85.2</v>
      </c>
      <c r="S163" s="252" t="n">
        <v>8</v>
      </c>
      <c r="T163" s="254" t="n">
        <v>6.7</v>
      </c>
      <c r="U163" s="251" t="n">
        <v>85</v>
      </c>
      <c r="V163" s="252" t="n">
        <v>78</v>
      </c>
      <c r="W163" s="255" t="n">
        <v>6.51</v>
      </c>
      <c r="X163" s="250" t="n">
        <v>-0.200000000000003</v>
      </c>
      <c r="Y163" s="256" t="n">
        <v>-9</v>
      </c>
    </row>
    <row r="164" customFormat="false" ht="12.5" hidden="false" customHeight="true" outlineLevel="0" collapsed="false">
      <c r="A164" s="210" t="s">
        <v>18</v>
      </c>
      <c r="B164" s="211" t="s">
        <v>1121</v>
      </c>
      <c r="C164" s="224" t="s">
        <v>1317</v>
      </c>
      <c r="D164" s="225" t="s">
        <v>1318</v>
      </c>
      <c r="E164" s="226" t="n">
        <v>39.75</v>
      </c>
      <c r="F164" s="226" t="n">
        <v>1034586</v>
      </c>
      <c r="G164" s="227" t="n">
        <v>1075249</v>
      </c>
      <c r="H164" s="227" t="n">
        <v>37.79</v>
      </c>
      <c r="I164" s="227" t="n">
        <v>1069558.87</v>
      </c>
      <c r="J164" s="228" t="n">
        <v>-5727.92</v>
      </c>
      <c r="K164" s="227" t="n">
        <v>20682</v>
      </c>
      <c r="L164" s="227" t="n">
        <v>4</v>
      </c>
      <c r="M164" s="227" t="n">
        <v>9954.21</v>
      </c>
      <c r="N164" s="229" t="n">
        <v>4334.62</v>
      </c>
      <c r="O164" s="230" t="n">
        <v>4037.99</v>
      </c>
      <c r="P164" s="231" t="n">
        <v>296</v>
      </c>
      <c r="Q164" s="220"/>
      <c r="R164" s="229" t="n">
        <v>54723.1</v>
      </c>
      <c r="S164" s="230" t="n">
        <v>16878</v>
      </c>
      <c r="T164" s="232"/>
      <c r="U164" s="229" t="n">
        <v>55567.8</v>
      </c>
      <c r="V164" s="230" t="n">
        <v>18193</v>
      </c>
      <c r="W164" s="233"/>
      <c r="X164" s="228" t="n">
        <v>844.7</v>
      </c>
      <c r="Y164" s="234" t="n">
        <v>580</v>
      </c>
    </row>
    <row r="165" customFormat="false" ht="12.5" hidden="false" customHeight="true" outlineLevel="0" collapsed="false">
      <c r="A165" s="210" t="s">
        <v>20</v>
      </c>
      <c r="B165" s="211" t="s">
        <v>1121</v>
      </c>
      <c r="C165" s="235" t="n">
        <v>140</v>
      </c>
      <c r="D165" s="236" t="s">
        <v>1319</v>
      </c>
      <c r="E165" s="237" t="n">
        <v>8</v>
      </c>
      <c r="F165" s="237" t="n">
        <v>341540</v>
      </c>
      <c r="G165" s="238" t="n">
        <v>342947</v>
      </c>
      <c r="H165" s="238" t="n">
        <v>7.17</v>
      </c>
      <c r="I165" s="238" t="n">
        <v>340746.41</v>
      </c>
      <c r="J165" s="239" t="n">
        <v>-2207.75999999998</v>
      </c>
      <c r="K165" s="238"/>
      <c r="L165" s="238"/>
      <c r="M165" s="238" t="n">
        <v>-50.11</v>
      </c>
      <c r="N165" s="240" t="n">
        <v>-742.649999999984</v>
      </c>
      <c r="O165" s="241" t="n">
        <v>-427.99</v>
      </c>
      <c r="P165" s="242" t="n">
        <v>-314</v>
      </c>
      <c r="Q165" s="220"/>
      <c r="R165" s="240" t="n">
        <v>20821</v>
      </c>
      <c r="S165" s="241" t="n">
        <v>4545</v>
      </c>
      <c r="T165" s="243"/>
      <c r="U165" s="240" t="n">
        <v>19877</v>
      </c>
      <c r="V165" s="241" t="n">
        <v>9236</v>
      </c>
      <c r="W165" s="244"/>
      <c r="X165" s="239" t="n">
        <v>-944</v>
      </c>
      <c r="Y165" s="245" t="n">
        <v>-1709</v>
      </c>
    </row>
    <row r="166" customFormat="false" ht="12.5" hidden="false" customHeight="true" outlineLevel="0" collapsed="false">
      <c r="A166" s="210" t="s">
        <v>1103</v>
      </c>
      <c r="B166" s="211" t="s">
        <v>1121</v>
      </c>
      <c r="C166" s="246" t="s">
        <v>1320</v>
      </c>
      <c r="D166" s="247" t="s">
        <v>1321</v>
      </c>
      <c r="E166" s="248" t="n">
        <v>5.5</v>
      </c>
      <c r="F166" s="248" t="n">
        <v>326863</v>
      </c>
      <c r="G166" s="249" t="n">
        <v>327302</v>
      </c>
      <c r="H166" s="249" t="n">
        <v>6.17</v>
      </c>
      <c r="I166" s="249" t="n">
        <v>325816</v>
      </c>
      <c r="J166" s="250" t="n">
        <v>-1492.16999999998</v>
      </c>
      <c r="K166" s="249"/>
      <c r="L166" s="249"/>
      <c r="M166" s="249" t="n">
        <v>-219.01</v>
      </c>
      <c r="N166" s="251" t="n">
        <v>-828.659999999984</v>
      </c>
      <c r="O166" s="252" t="n">
        <v>-655.33</v>
      </c>
      <c r="P166" s="253" t="n">
        <v>-173</v>
      </c>
      <c r="Q166" s="220"/>
      <c r="R166" s="251" t="n">
        <v>10860</v>
      </c>
      <c r="S166" s="252" t="n">
        <v>4353</v>
      </c>
      <c r="T166" s="254" t="n">
        <v>9</v>
      </c>
      <c r="U166" s="251" t="n">
        <v>10340</v>
      </c>
      <c r="V166" s="252"/>
      <c r="W166" s="255" t="n">
        <v>9</v>
      </c>
      <c r="X166" s="250" t="n">
        <v>-520</v>
      </c>
      <c r="Y166" s="256" t="n">
        <v>-1709</v>
      </c>
    </row>
    <row r="167" customFormat="false" ht="12.5" hidden="false" customHeight="true" outlineLevel="0" collapsed="false">
      <c r="A167" s="210" t="s">
        <v>1103</v>
      </c>
      <c r="B167" s="211" t="s">
        <v>1121</v>
      </c>
      <c r="C167" s="246" t="s">
        <v>1322</v>
      </c>
      <c r="D167" s="247" t="s">
        <v>1323</v>
      </c>
      <c r="E167" s="248" t="n">
        <v>2</v>
      </c>
      <c r="F167" s="248" t="n">
        <v>126</v>
      </c>
      <c r="G167" s="249" t="n">
        <v>237</v>
      </c>
      <c r="H167" s="249"/>
      <c r="I167" s="249" t="n">
        <v>125.41</v>
      </c>
      <c r="J167" s="250" t="n">
        <v>-111.59</v>
      </c>
      <c r="K167" s="249"/>
      <c r="L167" s="249"/>
      <c r="M167" s="249" t="n">
        <v>1.41</v>
      </c>
      <c r="N167" s="251" t="n">
        <v>-3.33066907387547E-015</v>
      </c>
      <c r="O167" s="252"/>
      <c r="P167" s="253"/>
      <c r="Q167" s="220"/>
      <c r="R167" s="251"/>
      <c r="S167" s="252"/>
      <c r="T167" s="254" t="n">
        <v>0</v>
      </c>
      <c r="U167" s="251"/>
      <c r="V167" s="252"/>
      <c r="W167" s="255" t="n">
        <v>0</v>
      </c>
      <c r="X167" s="250"/>
      <c r="Y167" s="256"/>
    </row>
    <row r="168" customFormat="false" ht="12.5" hidden="false" customHeight="true" outlineLevel="0" collapsed="false">
      <c r="A168" s="210" t="s">
        <v>1103</v>
      </c>
      <c r="B168" s="211" t="s">
        <v>1121</v>
      </c>
      <c r="C168" s="246" t="s">
        <v>1324</v>
      </c>
      <c r="D168" s="247" t="s">
        <v>1325</v>
      </c>
      <c r="E168" s="248"/>
      <c r="F168" s="248" t="n">
        <v>9843</v>
      </c>
      <c r="G168" s="249" t="n">
        <v>9900</v>
      </c>
      <c r="H168" s="249"/>
      <c r="I168" s="249" t="n">
        <v>10173</v>
      </c>
      <c r="J168" s="250" t="n">
        <v>273</v>
      </c>
      <c r="K168" s="249"/>
      <c r="L168" s="249"/>
      <c r="M168" s="249" t="n">
        <v>238.33</v>
      </c>
      <c r="N168" s="251" t="n">
        <v>91.67</v>
      </c>
      <c r="O168" s="252" t="n">
        <v>244</v>
      </c>
      <c r="P168" s="253" t="n">
        <v>-152</v>
      </c>
      <c r="Q168" s="220"/>
      <c r="R168" s="251" t="n">
        <v>9693</v>
      </c>
      <c r="S168" s="252"/>
      <c r="T168" s="254" t="n">
        <v>9</v>
      </c>
      <c r="U168" s="251" t="n">
        <v>9236</v>
      </c>
      <c r="V168" s="252" t="n">
        <v>9236</v>
      </c>
      <c r="W168" s="255" t="n">
        <v>9</v>
      </c>
      <c r="X168" s="250" t="n">
        <v>-457</v>
      </c>
      <c r="Y168" s="256"/>
    </row>
    <row r="169" customFormat="false" ht="12.5" hidden="false" customHeight="true" outlineLevel="0" collapsed="false">
      <c r="A169" s="210" t="s">
        <v>1103</v>
      </c>
      <c r="B169" s="211" t="s">
        <v>1121</v>
      </c>
      <c r="C169" s="246" t="s">
        <v>1326</v>
      </c>
      <c r="D169" s="247" t="s">
        <v>1327</v>
      </c>
      <c r="E169" s="248" t="n">
        <v>0.5</v>
      </c>
      <c r="F169" s="248" t="n">
        <v>1426</v>
      </c>
      <c r="G169" s="249" t="n">
        <v>1554</v>
      </c>
      <c r="H169" s="249" t="n">
        <v>0.5</v>
      </c>
      <c r="I169" s="249" t="n">
        <v>1427</v>
      </c>
      <c r="J169" s="250" t="n">
        <v>-127.5</v>
      </c>
      <c r="K169" s="249"/>
      <c r="L169" s="249"/>
      <c r="M169" s="249" t="n">
        <v>-3.34</v>
      </c>
      <c r="N169" s="251" t="n">
        <v>4.34</v>
      </c>
      <c r="O169" s="252" t="n">
        <v>4.67</v>
      </c>
      <c r="P169" s="253"/>
      <c r="Q169" s="220"/>
      <c r="R169" s="251" t="n">
        <v>129</v>
      </c>
      <c r="S169" s="252" t="n">
        <v>78</v>
      </c>
      <c r="T169" s="254" t="n">
        <v>9</v>
      </c>
      <c r="U169" s="251" t="n">
        <v>128</v>
      </c>
      <c r="V169" s="252"/>
      <c r="W169" s="255" t="n">
        <v>9</v>
      </c>
      <c r="X169" s="250" t="n">
        <v>-1</v>
      </c>
      <c r="Y169" s="256"/>
    </row>
    <row r="170" customFormat="false" ht="12.5" hidden="false" customHeight="true" outlineLevel="0" collapsed="false">
      <c r="A170" s="210" t="s">
        <v>1103</v>
      </c>
      <c r="B170" s="211" t="s">
        <v>1121</v>
      </c>
      <c r="C170" s="246" t="s">
        <v>1328</v>
      </c>
      <c r="D170" s="247" t="s">
        <v>1329</v>
      </c>
      <c r="E170" s="248"/>
      <c r="F170" s="248"/>
      <c r="G170" s="249"/>
      <c r="H170" s="249" t="n">
        <v>0.5</v>
      </c>
      <c r="I170" s="249"/>
      <c r="J170" s="250" t="n">
        <v>-0.5</v>
      </c>
      <c r="K170" s="249"/>
      <c r="L170" s="249"/>
      <c r="M170" s="249" t="n">
        <v>-0.5</v>
      </c>
      <c r="N170" s="251"/>
      <c r="O170" s="252"/>
      <c r="P170" s="253"/>
      <c r="Q170" s="220"/>
      <c r="R170" s="251"/>
      <c r="S170" s="252"/>
      <c r="T170" s="254" t="n">
        <v>0</v>
      </c>
      <c r="U170" s="251"/>
      <c r="V170" s="252"/>
      <c r="W170" s="255" t="n">
        <v>0</v>
      </c>
      <c r="X170" s="250"/>
      <c r="Y170" s="256"/>
    </row>
    <row r="171" customFormat="false" ht="12.5" hidden="false" customHeight="true" outlineLevel="0" collapsed="false">
      <c r="A171" s="210" t="s">
        <v>1103</v>
      </c>
      <c r="B171" s="211" t="s">
        <v>1121</v>
      </c>
      <c r="C171" s="246" t="s">
        <v>1330</v>
      </c>
      <c r="D171" s="247" t="s">
        <v>1331</v>
      </c>
      <c r="E171" s="248"/>
      <c r="F171" s="248" t="n">
        <v>3282</v>
      </c>
      <c r="G171" s="249" t="n">
        <v>3954</v>
      </c>
      <c r="H171" s="249"/>
      <c r="I171" s="249" t="n">
        <v>3205</v>
      </c>
      <c r="J171" s="250" t="n">
        <v>-749</v>
      </c>
      <c r="K171" s="249"/>
      <c r="L171" s="249"/>
      <c r="M171" s="249" t="n">
        <v>-67</v>
      </c>
      <c r="N171" s="251" t="n">
        <v>-10</v>
      </c>
      <c r="O171" s="252" t="n">
        <v>-21.33</v>
      </c>
      <c r="P171" s="253" t="n">
        <v>11</v>
      </c>
      <c r="Q171" s="220"/>
      <c r="R171" s="251" t="n">
        <v>139</v>
      </c>
      <c r="S171" s="252" t="n">
        <v>114</v>
      </c>
      <c r="T171" s="254" t="n">
        <v>9</v>
      </c>
      <c r="U171" s="251" t="n">
        <v>173</v>
      </c>
      <c r="V171" s="252"/>
      <c r="W171" s="255" t="n">
        <v>9</v>
      </c>
      <c r="X171" s="250" t="n">
        <v>34</v>
      </c>
      <c r="Y171" s="256"/>
    </row>
    <row r="172" customFormat="false" ht="12.5" hidden="false" customHeight="true" outlineLevel="0" collapsed="false">
      <c r="A172" s="210" t="s">
        <v>20</v>
      </c>
      <c r="B172" s="211" t="s">
        <v>1121</v>
      </c>
      <c r="C172" s="235" t="n">
        <v>141</v>
      </c>
      <c r="D172" s="236" t="s">
        <v>1332</v>
      </c>
      <c r="E172" s="237" t="n">
        <v>16</v>
      </c>
      <c r="F172" s="237" t="n">
        <v>447436</v>
      </c>
      <c r="G172" s="238" t="n">
        <v>451353</v>
      </c>
      <c r="H172" s="238" t="n">
        <v>15.87</v>
      </c>
      <c r="I172" s="238" t="n">
        <v>449767.87</v>
      </c>
      <c r="J172" s="239" t="n">
        <v>-1601.00000000001</v>
      </c>
      <c r="K172" s="238"/>
      <c r="L172" s="238" t="n">
        <v>-150</v>
      </c>
      <c r="M172" s="238" t="n">
        <v>1253.67</v>
      </c>
      <c r="N172" s="240" t="n">
        <v>1228.32999999999</v>
      </c>
      <c r="O172" s="241" t="n">
        <v>1106.65</v>
      </c>
      <c r="P172" s="242" t="n">
        <v>123</v>
      </c>
      <c r="Q172" s="220"/>
      <c r="R172" s="240" t="n">
        <v>19811</v>
      </c>
      <c r="S172" s="241" t="n">
        <v>8061</v>
      </c>
      <c r="T172" s="243"/>
      <c r="U172" s="240" t="n">
        <v>20176</v>
      </c>
      <c r="V172" s="241" t="n">
        <v>7143</v>
      </c>
      <c r="W172" s="244"/>
      <c r="X172" s="239" t="n">
        <v>365</v>
      </c>
      <c r="Y172" s="245" t="n">
        <v>-484</v>
      </c>
    </row>
    <row r="173" customFormat="false" ht="12.5" hidden="false" customHeight="true" outlineLevel="0" collapsed="false">
      <c r="A173" s="210" t="s">
        <v>1103</v>
      </c>
      <c r="B173" s="211" t="s">
        <v>1121</v>
      </c>
      <c r="C173" s="246" t="s">
        <v>1333</v>
      </c>
      <c r="D173" s="247" t="s">
        <v>1321</v>
      </c>
      <c r="E173" s="248" t="n">
        <v>1.5</v>
      </c>
      <c r="F173" s="248" t="n">
        <v>11039</v>
      </c>
      <c r="G173" s="249" t="n">
        <v>10961</v>
      </c>
      <c r="H173" s="249" t="n">
        <v>7.87</v>
      </c>
      <c r="I173" s="249" t="n">
        <v>11157</v>
      </c>
      <c r="J173" s="250" t="n">
        <v>188.129999999999</v>
      </c>
      <c r="K173" s="249"/>
      <c r="L173" s="249"/>
      <c r="M173" s="249" t="n">
        <v>-68.37</v>
      </c>
      <c r="N173" s="251" t="n">
        <v>179.999999999999</v>
      </c>
      <c r="O173" s="252" t="n">
        <v>147.33</v>
      </c>
      <c r="P173" s="253" t="n">
        <v>33</v>
      </c>
      <c r="Q173" s="220"/>
      <c r="R173" s="251" t="n">
        <v>150</v>
      </c>
      <c r="S173" s="252" t="n">
        <v>150</v>
      </c>
      <c r="T173" s="254" t="n">
        <v>9</v>
      </c>
      <c r="U173" s="251" t="n">
        <v>248</v>
      </c>
      <c r="V173" s="252"/>
      <c r="W173" s="255" t="n">
        <v>9</v>
      </c>
      <c r="X173" s="250" t="n">
        <v>98</v>
      </c>
      <c r="Y173" s="256"/>
    </row>
    <row r="174" customFormat="false" ht="12.5" hidden="false" customHeight="true" outlineLevel="0" collapsed="false">
      <c r="A174" s="210" t="s">
        <v>1103</v>
      </c>
      <c r="B174" s="211" t="s">
        <v>1121</v>
      </c>
      <c r="C174" s="246" t="s">
        <v>1334</v>
      </c>
      <c r="D174" s="247" t="s">
        <v>1323</v>
      </c>
      <c r="E174" s="248" t="n">
        <v>4.5</v>
      </c>
      <c r="F174" s="248" t="n">
        <v>372135</v>
      </c>
      <c r="G174" s="249" t="n">
        <v>372509</v>
      </c>
      <c r="H174" s="249" t="n">
        <v>2</v>
      </c>
      <c r="I174" s="249" t="n">
        <v>372535.87</v>
      </c>
      <c r="J174" s="250" t="n">
        <v>24.8699999999953</v>
      </c>
      <c r="K174" s="249"/>
      <c r="L174" s="249"/>
      <c r="M174" s="249" t="n">
        <v>-548.3</v>
      </c>
      <c r="N174" s="251" t="n">
        <v>951.669999999995</v>
      </c>
      <c r="O174" s="252" t="n">
        <v>666</v>
      </c>
      <c r="P174" s="253" t="n">
        <v>286</v>
      </c>
      <c r="Q174" s="220"/>
      <c r="R174" s="251" t="n">
        <v>8591</v>
      </c>
      <c r="S174" s="252" t="n">
        <v>5560</v>
      </c>
      <c r="T174" s="254" t="n">
        <v>9</v>
      </c>
      <c r="U174" s="251" t="n">
        <v>9448</v>
      </c>
      <c r="V174" s="252"/>
      <c r="W174" s="255" t="n">
        <v>9</v>
      </c>
      <c r="X174" s="250" t="n">
        <v>857</v>
      </c>
      <c r="Y174" s="256" t="n">
        <v>-484</v>
      </c>
    </row>
    <row r="175" customFormat="false" ht="12.5" hidden="false" customHeight="true" outlineLevel="0" collapsed="false">
      <c r="A175" s="210" t="s">
        <v>1103</v>
      </c>
      <c r="B175" s="211" t="s">
        <v>1121</v>
      </c>
      <c r="C175" s="246" t="s">
        <v>1335</v>
      </c>
      <c r="D175" s="247" t="s">
        <v>1325</v>
      </c>
      <c r="E175" s="248"/>
      <c r="F175" s="248" t="n">
        <v>6860</v>
      </c>
      <c r="G175" s="249" t="n">
        <v>10370</v>
      </c>
      <c r="H175" s="249"/>
      <c r="I175" s="249" t="n">
        <v>7514</v>
      </c>
      <c r="J175" s="250" t="n">
        <v>-2856</v>
      </c>
      <c r="K175" s="249"/>
      <c r="L175" s="249"/>
      <c r="M175" s="249" t="n">
        <v>916</v>
      </c>
      <c r="N175" s="251" t="n">
        <v>-262</v>
      </c>
      <c r="O175" s="252" t="n">
        <v>-178.67</v>
      </c>
      <c r="P175" s="253" t="n">
        <v>-83</v>
      </c>
      <c r="Q175" s="220"/>
      <c r="R175" s="251" t="n">
        <v>7393</v>
      </c>
      <c r="S175" s="252"/>
      <c r="T175" s="254" t="n">
        <v>9</v>
      </c>
      <c r="U175" s="251" t="n">
        <v>7143</v>
      </c>
      <c r="V175" s="252" t="n">
        <v>7143</v>
      </c>
      <c r="W175" s="255" t="n">
        <v>9</v>
      </c>
      <c r="X175" s="250" t="n">
        <v>-250</v>
      </c>
      <c r="Y175" s="256"/>
    </row>
    <row r="176" customFormat="false" ht="12.5" hidden="false" customHeight="true" outlineLevel="0" collapsed="false">
      <c r="A176" s="210" t="s">
        <v>1103</v>
      </c>
      <c r="B176" s="211" t="s">
        <v>1121</v>
      </c>
      <c r="C176" s="246" t="s">
        <v>1336</v>
      </c>
      <c r="D176" s="247" t="s">
        <v>1327</v>
      </c>
      <c r="E176" s="248" t="n">
        <v>7</v>
      </c>
      <c r="F176" s="248" t="n">
        <v>16684</v>
      </c>
      <c r="G176" s="249" t="n">
        <v>16298</v>
      </c>
      <c r="H176" s="249" t="n">
        <v>4</v>
      </c>
      <c r="I176" s="249" t="n">
        <v>16820</v>
      </c>
      <c r="J176" s="250" t="n">
        <v>518</v>
      </c>
      <c r="K176" s="249"/>
      <c r="L176" s="249"/>
      <c r="M176" s="249" t="n">
        <v>28</v>
      </c>
      <c r="N176" s="251" t="n">
        <v>111</v>
      </c>
      <c r="O176" s="252" t="n">
        <v>81.33</v>
      </c>
      <c r="P176" s="253" t="n">
        <v>30</v>
      </c>
      <c r="Q176" s="220"/>
      <c r="R176" s="251" t="n">
        <v>986</v>
      </c>
      <c r="S176" s="252" t="n">
        <v>555</v>
      </c>
      <c r="T176" s="254" t="n">
        <v>9</v>
      </c>
      <c r="U176" s="251" t="n">
        <v>1075</v>
      </c>
      <c r="V176" s="252"/>
      <c r="W176" s="255" t="n">
        <v>9</v>
      </c>
      <c r="X176" s="250" t="n">
        <v>89</v>
      </c>
      <c r="Y176" s="256"/>
    </row>
    <row r="177" customFormat="false" ht="12.5" hidden="false" customHeight="true" outlineLevel="0" collapsed="false">
      <c r="A177" s="210" t="s">
        <v>1103</v>
      </c>
      <c r="B177" s="211" t="s">
        <v>1121</v>
      </c>
      <c r="C177" s="246" t="s">
        <v>1337</v>
      </c>
      <c r="D177" s="247" t="s">
        <v>1329</v>
      </c>
      <c r="E177" s="248" t="n">
        <v>3</v>
      </c>
      <c r="F177" s="248" t="n">
        <v>31568</v>
      </c>
      <c r="G177" s="249" t="n">
        <v>31021</v>
      </c>
      <c r="H177" s="249" t="n">
        <v>2</v>
      </c>
      <c r="I177" s="249" t="n">
        <v>32035</v>
      </c>
      <c r="J177" s="250" t="n">
        <v>1012</v>
      </c>
      <c r="K177" s="249"/>
      <c r="L177" s="249" t="n">
        <v>-150</v>
      </c>
      <c r="M177" s="249" t="n">
        <v>297.34</v>
      </c>
      <c r="N177" s="251" t="n">
        <v>320.66</v>
      </c>
      <c r="O177" s="252" t="n">
        <v>429.33</v>
      </c>
      <c r="P177" s="253" t="n">
        <v>-109</v>
      </c>
      <c r="Q177" s="220"/>
      <c r="R177" s="251" t="n">
        <v>2482</v>
      </c>
      <c r="S177" s="252" t="n">
        <v>1727</v>
      </c>
      <c r="T177" s="254" t="n">
        <v>9</v>
      </c>
      <c r="U177" s="251" t="n">
        <v>2156</v>
      </c>
      <c r="V177" s="252"/>
      <c r="W177" s="255" t="n">
        <v>9</v>
      </c>
      <c r="X177" s="250" t="n">
        <v>-326</v>
      </c>
      <c r="Y177" s="256"/>
    </row>
    <row r="178" customFormat="false" ht="12.5" hidden="false" customHeight="true" outlineLevel="0" collapsed="false">
      <c r="A178" s="210" t="s">
        <v>1103</v>
      </c>
      <c r="B178" s="211" t="s">
        <v>1121</v>
      </c>
      <c r="C178" s="246" t="s">
        <v>1338</v>
      </c>
      <c r="D178" s="247" t="s">
        <v>1331</v>
      </c>
      <c r="E178" s="248"/>
      <c r="F178" s="248" t="n">
        <v>9150</v>
      </c>
      <c r="G178" s="249" t="n">
        <v>10194</v>
      </c>
      <c r="H178" s="249"/>
      <c r="I178" s="249" t="n">
        <v>9706</v>
      </c>
      <c r="J178" s="250" t="n">
        <v>-488</v>
      </c>
      <c r="K178" s="249"/>
      <c r="L178" s="249"/>
      <c r="M178" s="249" t="n">
        <v>629</v>
      </c>
      <c r="N178" s="251" t="n">
        <v>-73</v>
      </c>
      <c r="O178" s="252" t="n">
        <v>-38.67</v>
      </c>
      <c r="P178" s="253" t="n">
        <v>-34</v>
      </c>
      <c r="Q178" s="220"/>
      <c r="R178" s="251" t="n">
        <v>209</v>
      </c>
      <c r="S178" s="252" t="n">
        <v>69</v>
      </c>
      <c r="T178" s="254" t="n">
        <v>9</v>
      </c>
      <c r="U178" s="251" t="n">
        <v>106</v>
      </c>
      <c r="V178" s="252"/>
      <c r="W178" s="255" t="n">
        <v>9</v>
      </c>
      <c r="X178" s="250" t="n">
        <v>-103</v>
      </c>
      <c r="Y178" s="256"/>
    </row>
    <row r="179" customFormat="false" ht="12.5" hidden="false" customHeight="true" outlineLevel="0" collapsed="false">
      <c r="A179" s="210" t="s">
        <v>20</v>
      </c>
      <c r="B179" s="211" t="s">
        <v>1121</v>
      </c>
      <c r="C179" s="235" t="n">
        <v>230</v>
      </c>
      <c r="D179" s="236" t="s">
        <v>1339</v>
      </c>
      <c r="E179" s="237" t="n">
        <v>1</v>
      </c>
      <c r="F179" s="237" t="n">
        <v>72942</v>
      </c>
      <c r="G179" s="238" t="n">
        <v>103714</v>
      </c>
      <c r="H179" s="238" t="n">
        <v>1</v>
      </c>
      <c r="I179" s="238" t="n">
        <v>105871.67</v>
      </c>
      <c r="J179" s="239" t="n">
        <v>2156.67</v>
      </c>
      <c r="K179" s="238" t="n">
        <v>20322</v>
      </c>
      <c r="L179" s="238"/>
      <c r="M179" s="238" t="n">
        <v>9273.01</v>
      </c>
      <c r="N179" s="240" t="n">
        <v>3334.66</v>
      </c>
      <c r="O179" s="241" t="n">
        <v>2896.67</v>
      </c>
      <c r="P179" s="242" t="n">
        <v>437</v>
      </c>
      <c r="Q179" s="220"/>
      <c r="R179" s="240" t="n">
        <v>1734</v>
      </c>
      <c r="S179" s="241" t="n">
        <v>575</v>
      </c>
      <c r="T179" s="243"/>
      <c r="U179" s="240" t="n">
        <v>3048</v>
      </c>
      <c r="V179" s="241" t="n">
        <v>1772</v>
      </c>
      <c r="W179" s="244"/>
      <c r="X179" s="239" t="n">
        <v>1314</v>
      </c>
      <c r="Y179" s="245" t="n">
        <v>3000</v>
      </c>
    </row>
    <row r="180" customFormat="false" ht="12.5" hidden="false" customHeight="true" outlineLevel="0" collapsed="false">
      <c r="A180" s="210" t="s">
        <v>1103</v>
      </c>
      <c r="B180" s="211" t="s">
        <v>1121</v>
      </c>
      <c r="C180" s="246" t="s">
        <v>1340</v>
      </c>
      <c r="D180" s="247" t="s">
        <v>1325</v>
      </c>
      <c r="E180" s="248"/>
      <c r="F180" s="248" t="n">
        <v>420</v>
      </c>
      <c r="G180" s="249" t="n">
        <v>410</v>
      </c>
      <c r="H180" s="249"/>
      <c r="I180" s="249" t="n">
        <v>410</v>
      </c>
      <c r="J180" s="250"/>
      <c r="K180" s="249"/>
      <c r="L180" s="249"/>
      <c r="M180" s="249" t="n">
        <v>-5</v>
      </c>
      <c r="N180" s="251" t="n">
        <v>-5</v>
      </c>
      <c r="O180" s="252"/>
      <c r="P180" s="253" t="n">
        <v>-5</v>
      </c>
      <c r="Q180" s="220"/>
      <c r="R180" s="251" t="n">
        <v>523</v>
      </c>
      <c r="S180" s="252"/>
      <c r="T180" s="254" t="n">
        <v>9</v>
      </c>
      <c r="U180" s="251" t="n">
        <v>508</v>
      </c>
      <c r="V180" s="252" t="n">
        <v>508</v>
      </c>
      <c r="W180" s="255" t="n">
        <v>9</v>
      </c>
      <c r="X180" s="250" t="n">
        <v>-15</v>
      </c>
      <c r="Y180" s="256"/>
    </row>
    <row r="181" customFormat="false" ht="12.5" hidden="false" customHeight="true" outlineLevel="0" collapsed="false">
      <c r="A181" s="210" t="s">
        <v>1103</v>
      </c>
      <c r="B181" s="211" t="s">
        <v>1121</v>
      </c>
      <c r="C181" s="246" t="s">
        <v>1341</v>
      </c>
      <c r="D181" s="247" t="s">
        <v>1329</v>
      </c>
      <c r="E181" s="248" t="n">
        <v>1</v>
      </c>
      <c r="F181" s="248" t="n">
        <v>2541</v>
      </c>
      <c r="G181" s="249" t="n">
        <v>1287</v>
      </c>
      <c r="H181" s="249" t="n">
        <v>1</v>
      </c>
      <c r="I181" s="249" t="n">
        <v>2670</v>
      </c>
      <c r="J181" s="250" t="n">
        <v>1382</v>
      </c>
      <c r="K181" s="249"/>
      <c r="L181" s="249"/>
      <c r="M181" s="249" t="n">
        <v>120</v>
      </c>
      <c r="N181" s="251" t="n">
        <v>9</v>
      </c>
      <c r="O181" s="252" t="n">
        <v>-3.33</v>
      </c>
      <c r="P181" s="253" t="n">
        <v>12</v>
      </c>
      <c r="Q181" s="220"/>
      <c r="R181" s="251" t="n">
        <v>25</v>
      </c>
      <c r="S181" s="252" t="n">
        <v>13</v>
      </c>
      <c r="T181" s="254" t="n">
        <v>9</v>
      </c>
      <c r="U181" s="251" t="n">
        <v>62</v>
      </c>
      <c r="V181" s="252"/>
      <c r="W181" s="255" t="n">
        <v>9</v>
      </c>
      <c r="X181" s="250" t="n">
        <v>37</v>
      </c>
      <c r="Y181" s="256"/>
    </row>
    <row r="182" customFormat="false" ht="12.5" hidden="false" customHeight="true" outlineLevel="0" collapsed="false">
      <c r="A182" s="210" t="s">
        <v>1103</v>
      </c>
      <c r="B182" s="211" t="s">
        <v>1121</v>
      </c>
      <c r="C182" s="246" t="s">
        <v>1342</v>
      </c>
      <c r="D182" s="247" t="s">
        <v>1343</v>
      </c>
      <c r="E182" s="248"/>
      <c r="F182" s="248" t="n">
        <v>43634</v>
      </c>
      <c r="G182" s="249" t="n">
        <v>72116</v>
      </c>
      <c r="H182" s="249"/>
      <c r="I182" s="249" t="n">
        <v>73127</v>
      </c>
      <c r="J182" s="250" t="n">
        <v>1011</v>
      </c>
      <c r="K182" s="249" t="n">
        <v>21322</v>
      </c>
      <c r="L182" s="249"/>
      <c r="M182" s="249" t="n">
        <v>5018.34</v>
      </c>
      <c r="N182" s="251" t="n">
        <v>3152.66</v>
      </c>
      <c r="O182" s="252" t="n">
        <v>2731.33</v>
      </c>
      <c r="P182" s="253" t="n">
        <v>421</v>
      </c>
      <c r="Q182" s="220"/>
      <c r="R182" s="251"/>
      <c r="S182" s="252"/>
      <c r="T182" s="254" t="n">
        <v>0</v>
      </c>
      <c r="U182" s="251" t="n">
        <v>1264</v>
      </c>
      <c r="V182" s="252" t="n">
        <v>1264</v>
      </c>
      <c r="W182" s="255" t="n">
        <v>9</v>
      </c>
      <c r="X182" s="250" t="n">
        <v>1264</v>
      </c>
      <c r="Y182" s="256" t="n">
        <v>3000</v>
      </c>
    </row>
    <row r="183" customFormat="false" ht="12.5" hidden="false" customHeight="true" outlineLevel="0" collapsed="false">
      <c r="A183" s="210" t="s">
        <v>1103</v>
      </c>
      <c r="B183" s="211" t="s">
        <v>1121</v>
      </c>
      <c r="C183" s="246" t="s">
        <v>1344</v>
      </c>
      <c r="D183" s="247" t="s">
        <v>1345</v>
      </c>
      <c r="E183" s="248"/>
      <c r="F183" s="248" t="n">
        <v>3065</v>
      </c>
      <c r="G183" s="249" t="n">
        <v>4500</v>
      </c>
      <c r="H183" s="249"/>
      <c r="I183" s="249" t="n">
        <v>6157</v>
      </c>
      <c r="J183" s="250" t="n">
        <v>1657</v>
      </c>
      <c r="K183" s="249" t="n">
        <v>-1000</v>
      </c>
      <c r="L183" s="249"/>
      <c r="M183" s="249" t="n">
        <v>4092</v>
      </c>
      <c r="N183" s="251"/>
      <c r="O183" s="252"/>
      <c r="P183" s="253"/>
      <c r="Q183" s="220"/>
      <c r="R183" s="251"/>
      <c r="S183" s="252"/>
      <c r="T183" s="254" t="n">
        <v>9</v>
      </c>
      <c r="U183" s="251"/>
      <c r="V183" s="252"/>
      <c r="W183" s="255" t="n">
        <v>9</v>
      </c>
      <c r="X183" s="250"/>
      <c r="Y183" s="256"/>
    </row>
    <row r="184" customFormat="false" ht="12.5" hidden="false" customHeight="true" outlineLevel="0" collapsed="false">
      <c r="A184" s="210" t="s">
        <v>1103</v>
      </c>
      <c r="B184" s="211" t="s">
        <v>1121</v>
      </c>
      <c r="C184" s="246" t="s">
        <v>1346</v>
      </c>
      <c r="D184" s="247" t="s">
        <v>1331</v>
      </c>
      <c r="E184" s="248"/>
      <c r="F184" s="248" t="n">
        <v>23282</v>
      </c>
      <c r="G184" s="249" t="n">
        <v>25401</v>
      </c>
      <c r="H184" s="249"/>
      <c r="I184" s="249" t="n">
        <v>23507.67</v>
      </c>
      <c r="J184" s="250" t="n">
        <v>-1893.33</v>
      </c>
      <c r="K184" s="249"/>
      <c r="L184" s="249"/>
      <c r="M184" s="249" t="n">
        <v>47.67</v>
      </c>
      <c r="N184" s="251" t="n">
        <v>177.999999999998</v>
      </c>
      <c r="O184" s="252" t="n">
        <v>168.67</v>
      </c>
      <c r="P184" s="253" t="n">
        <v>9</v>
      </c>
      <c r="Q184" s="220"/>
      <c r="R184" s="251" t="n">
        <v>1186</v>
      </c>
      <c r="S184" s="252" t="n">
        <v>562</v>
      </c>
      <c r="T184" s="254" t="n">
        <v>9</v>
      </c>
      <c r="U184" s="251" t="n">
        <v>1214</v>
      </c>
      <c r="V184" s="252"/>
      <c r="W184" s="255" t="n">
        <v>9</v>
      </c>
      <c r="X184" s="250" t="n">
        <v>28</v>
      </c>
      <c r="Y184" s="256"/>
    </row>
    <row r="185" customFormat="false" ht="12.5" hidden="false" customHeight="true" outlineLevel="0" collapsed="false">
      <c r="A185" s="210" t="s">
        <v>20</v>
      </c>
      <c r="B185" s="211" t="s">
        <v>1121</v>
      </c>
      <c r="C185" s="235" t="n">
        <v>139</v>
      </c>
      <c r="D185" s="236" t="s">
        <v>1347</v>
      </c>
      <c r="E185" s="237"/>
      <c r="F185" s="237" t="n">
        <v>131359</v>
      </c>
      <c r="G185" s="238" t="n">
        <v>132960</v>
      </c>
      <c r="H185" s="238"/>
      <c r="I185" s="238" t="n">
        <v>130727.54</v>
      </c>
      <c r="J185" s="239" t="n">
        <v>-2232.46000000001</v>
      </c>
      <c r="K185" s="238"/>
      <c r="L185" s="238"/>
      <c r="M185" s="238" t="n">
        <v>-520.45</v>
      </c>
      <c r="N185" s="240" t="n">
        <v>-111.010000000006</v>
      </c>
      <c r="O185" s="241" t="n">
        <v>22.66</v>
      </c>
      <c r="P185" s="242" t="n">
        <v>-134</v>
      </c>
      <c r="Q185" s="220"/>
      <c r="R185" s="240" t="n">
        <v>9217</v>
      </c>
      <c r="S185" s="241" t="n">
        <v>2725</v>
      </c>
      <c r="T185" s="243"/>
      <c r="U185" s="240" t="n">
        <v>8816</v>
      </c>
      <c r="V185" s="241"/>
      <c r="W185" s="244"/>
      <c r="X185" s="239" t="n">
        <v>-401</v>
      </c>
      <c r="Y185" s="245" t="n">
        <v>-500</v>
      </c>
    </row>
    <row r="186" customFormat="false" ht="12.5" hidden="false" customHeight="true" outlineLevel="0" collapsed="false">
      <c r="A186" s="210" t="s">
        <v>1103</v>
      </c>
      <c r="B186" s="211" t="s">
        <v>1121</v>
      </c>
      <c r="C186" s="246" t="s">
        <v>1348</v>
      </c>
      <c r="D186" s="247" t="s">
        <v>1321</v>
      </c>
      <c r="E186" s="248"/>
      <c r="F186" s="248" t="n">
        <v>41771</v>
      </c>
      <c r="G186" s="249" t="n">
        <v>43397</v>
      </c>
      <c r="H186" s="249"/>
      <c r="I186" s="249" t="n">
        <v>41524.59</v>
      </c>
      <c r="J186" s="250" t="n">
        <v>-1872.41</v>
      </c>
      <c r="K186" s="249"/>
      <c r="L186" s="249"/>
      <c r="M186" s="249" t="n">
        <v>-199.07</v>
      </c>
      <c r="N186" s="251" t="n">
        <v>-47.3400000000035</v>
      </c>
      <c r="O186" s="252" t="n">
        <v>29.33</v>
      </c>
      <c r="P186" s="253" t="n">
        <v>-77</v>
      </c>
      <c r="Q186" s="220"/>
      <c r="R186" s="251" t="n">
        <v>1946</v>
      </c>
      <c r="S186" s="252" t="n">
        <v>844</v>
      </c>
      <c r="T186" s="254" t="n">
        <v>9</v>
      </c>
      <c r="U186" s="251" t="n">
        <v>1716</v>
      </c>
      <c r="V186" s="252"/>
      <c r="W186" s="255" t="n">
        <v>9</v>
      </c>
      <c r="X186" s="250" t="n">
        <v>-230</v>
      </c>
      <c r="Y186" s="256" t="n">
        <v>-404</v>
      </c>
    </row>
    <row r="187" customFormat="false" ht="12.5" hidden="false" customHeight="true" outlineLevel="0" collapsed="false">
      <c r="A187" s="210" t="s">
        <v>1103</v>
      </c>
      <c r="B187" s="211" t="s">
        <v>1121</v>
      </c>
      <c r="C187" s="246" t="s">
        <v>1349</v>
      </c>
      <c r="D187" s="247" t="s">
        <v>1323</v>
      </c>
      <c r="E187" s="248"/>
      <c r="F187" s="248" t="n">
        <v>87534</v>
      </c>
      <c r="G187" s="249" t="n">
        <v>87203</v>
      </c>
      <c r="H187" s="249"/>
      <c r="I187" s="249" t="n">
        <v>87106.95</v>
      </c>
      <c r="J187" s="250" t="n">
        <v>-96.0500000000029</v>
      </c>
      <c r="K187" s="249"/>
      <c r="L187" s="249"/>
      <c r="M187" s="249" t="n">
        <v>-319.05</v>
      </c>
      <c r="N187" s="251" t="n">
        <v>-108.000000000003</v>
      </c>
      <c r="O187" s="252" t="n">
        <v>-62</v>
      </c>
      <c r="P187" s="253" t="n">
        <v>-46</v>
      </c>
      <c r="Q187" s="220"/>
      <c r="R187" s="251" t="n">
        <v>5168</v>
      </c>
      <c r="S187" s="252" t="n">
        <v>1881</v>
      </c>
      <c r="T187" s="254" t="n">
        <v>9</v>
      </c>
      <c r="U187" s="251" t="n">
        <v>5030</v>
      </c>
      <c r="V187" s="252"/>
      <c r="W187" s="255" t="n">
        <v>9</v>
      </c>
      <c r="X187" s="250" t="n">
        <v>-138</v>
      </c>
      <c r="Y187" s="256" t="n">
        <v>-96</v>
      </c>
    </row>
    <row r="188" customFormat="false" ht="12.5" hidden="false" customHeight="true" outlineLevel="0" collapsed="false">
      <c r="A188" s="210" t="s">
        <v>1103</v>
      </c>
      <c r="B188" s="211" t="s">
        <v>1121</v>
      </c>
      <c r="C188" s="246" t="s">
        <v>1350</v>
      </c>
      <c r="D188" s="247" t="s">
        <v>1325</v>
      </c>
      <c r="E188" s="248"/>
      <c r="F188" s="248" t="n">
        <v>2054</v>
      </c>
      <c r="G188" s="249" t="n">
        <v>2360</v>
      </c>
      <c r="H188" s="249"/>
      <c r="I188" s="249" t="n">
        <v>2096</v>
      </c>
      <c r="J188" s="250" t="n">
        <v>-264</v>
      </c>
      <c r="K188" s="249"/>
      <c r="L188" s="249"/>
      <c r="M188" s="249" t="n">
        <v>-2.33</v>
      </c>
      <c r="N188" s="251" t="n">
        <v>44.33</v>
      </c>
      <c r="O188" s="252" t="n">
        <v>55.33</v>
      </c>
      <c r="P188" s="253" t="n">
        <v>-11</v>
      </c>
      <c r="Q188" s="220"/>
      <c r="R188" s="251" t="n">
        <v>2103</v>
      </c>
      <c r="S188" s="252"/>
      <c r="T188" s="254" t="n">
        <v>9</v>
      </c>
      <c r="U188" s="251" t="n">
        <v>2070</v>
      </c>
      <c r="V188" s="252"/>
      <c r="W188" s="255" t="n">
        <v>9</v>
      </c>
      <c r="X188" s="250" t="n">
        <v>-33</v>
      </c>
      <c r="Y188" s="256"/>
    </row>
    <row r="189" customFormat="false" ht="12.5" hidden="false" customHeight="true" outlineLevel="0" collapsed="false">
      <c r="A189" s="210" t="s">
        <v>20</v>
      </c>
      <c r="B189" s="211" t="s">
        <v>1121</v>
      </c>
      <c r="C189" s="235" t="n">
        <v>214</v>
      </c>
      <c r="D189" s="236" t="s">
        <v>1351</v>
      </c>
      <c r="E189" s="237" t="n">
        <v>14.75</v>
      </c>
      <c r="F189" s="237" t="n">
        <v>26099</v>
      </c>
      <c r="G189" s="238" t="n">
        <v>28670</v>
      </c>
      <c r="H189" s="238" t="n">
        <v>13.75</v>
      </c>
      <c r="I189" s="238" t="n">
        <v>27017.38</v>
      </c>
      <c r="J189" s="239" t="n">
        <v>-1666.37</v>
      </c>
      <c r="K189" s="238"/>
      <c r="L189" s="238" t="n">
        <v>154</v>
      </c>
      <c r="M189" s="238" t="n">
        <v>177.06</v>
      </c>
      <c r="N189" s="240" t="n">
        <v>588.32</v>
      </c>
      <c r="O189" s="241" t="n">
        <v>420</v>
      </c>
      <c r="P189" s="242" t="n">
        <v>167</v>
      </c>
      <c r="Q189" s="220"/>
      <c r="R189" s="240" t="n">
        <v>1667</v>
      </c>
      <c r="S189" s="241" t="n">
        <v>753</v>
      </c>
      <c r="T189" s="243"/>
      <c r="U189" s="240" t="n">
        <v>2172</v>
      </c>
      <c r="V189" s="241"/>
      <c r="W189" s="244"/>
      <c r="X189" s="239" t="n">
        <v>505</v>
      </c>
      <c r="Y189" s="245" t="n">
        <v>253</v>
      </c>
    </row>
    <row r="190" customFormat="false" ht="12.5" hidden="false" customHeight="true" outlineLevel="0" collapsed="false">
      <c r="A190" s="210" t="s">
        <v>1103</v>
      </c>
      <c r="B190" s="211" t="s">
        <v>1121</v>
      </c>
      <c r="C190" s="246" t="s">
        <v>1352</v>
      </c>
      <c r="D190" s="247" t="s">
        <v>1321</v>
      </c>
      <c r="E190" s="248"/>
      <c r="F190" s="248" t="n">
        <v>6</v>
      </c>
      <c r="G190" s="249"/>
      <c r="H190" s="249" t="n">
        <v>1</v>
      </c>
      <c r="I190" s="249"/>
      <c r="J190" s="250" t="n">
        <v>-1</v>
      </c>
      <c r="K190" s="249"/>
      <c r="L190" s="249"/>
      <c r="M190" s="249" t="n">
        <v>-7</v>
      </c>
      <c r="N190" s="251"/>
      <c r="O190" s="252"/>
      <c r="P190" s="253"/>
      <c r="Q190" s="220"/>
      <c r="R190" s="251"/>
      <c r="S190" s="252"/>
      <c r="T190" s="254" t="n">
        <v>0</v>
      </c>
      <c r="U190" s="251"/>
      <c r="V190" s="252"/>
      <c r="W190" s="255" t="n">
        <v>0</v>
      </c>
      <c r="X190" s="250"/>
      <c r="Y190" s="256"/>
    </row>
    <row r="191" customFormat="false" ht="12.5" hidden="false" customHeight="true" outlineLevel="0" collapsed="false">
      <c r="A191" s="210" t="s">
        <v>1103</v>
      </c>
      <c r="B191" s="211" t="s">
        <v>1121</v>
      </c>
      <c r="C191" s="246" t="s">
        <v>1353</v>
      </c>
      <c r="D191" s="247" t="s">
        <v>1323</v>
      </c>
      <c r="E191" s="248" t="n">
        <v>0.5</v>
      </c>
      <c r="F191" s="248" t="n">
        <v>32</v>
      </c>
      <c r="G191" s="249"/>
      <c r="H191" s="249" t="n">
        <v>4</v>
      </c>
      <c r="I191" s="249"/>
      <c r="J191" s="250" t="n">
        <v>-4</v>
      </c>
      <c r="K191" s="249"/>
      <c r="L191" s="249"/>
      <c r="M191" s="249" t="n">
        <v>-35.5</v>
      </c>
      <c r="N191" s="251"/>
      <c r="O191" s="252"/>
      <c r="P191" s="253"/>
      <c r="Q191" s="220"/>
      <c r="R191" s="251"/>
      <c r="S191" s="252"/>
      <c r="T191" s="254" t="n">
        <v>0</v>
      </c>
      <c r="U191" s="251"/>
      <c r="V191" s="252"/>
      <c r="W191" s="255" t="n">
        <v>0</v>
      </c>
      <c r="X191" s="250"/>
      <c r="Y191" s="256"/>
    </row>
    <row r="192" customFormat="false" ht="12.5" hidden="false" customHeight="true" outlineLevel="0" collapsed="false">
      <c r="A192" s="210" t="s">
        <v>1103</v>
      </c>
      <c r="B192" s="211" t="s">
        <v>1121</v>
      </c>
      <c r="C192" s="246" t="s">
        <v>1354</v>
      </c>
      <c r="D192" s="247" t="s">
        <v>1327</v>
      </c>
      <c r="E192" s="248" t="n">
        <v>1</v>
      </c>
      <c r="F192" s="248" t="n">
        <v>1667</v>
      </c>
      <c r="G192" s="249" t="n">
        <v>2009</v>
      </c>
      <c r="H192" s="249" t="n">
        <v>0.5</v>
      </c>
      <c r="I192" s="249" t="n">
        <v>1533.5</v>
      </c>
      <c r="J192" s="250" t="n">
        <v>-476</v>
      </c>
      <c r="K192" s="249"/>
      <c r="L192" s="249"/>
      <c r="M192" s="249" t="n">
        <v>-92.66</v>
      </c>
      <c r="N192" s="251" t="n">
        <v>-40.34</v>
      </c>
      <c r="O192" s="252" t="n">
        <v>-58.67</v>
      </c>
      <c r="P192" s="253" t="n">
        <v>18</v>
      </c>
      <c r="Q192" s="220"/>
      <c r="R192" s="251" t="n">
        <v>58</v>
      </c>
      <c r="S192" s="252" t="n">
        <v>50</v>
      </c>
      <c r="T192" s="254" t="n">
        <v>9</v>
      </c>
      <c r="U192" s="251" t="n">
        <v>113</v>
      </c>
      <c r="V192" s="252"/>
      <c r="W192" s="255" t="n">
        <v>9</v>
      </c>
      <c r="X192" s="250" t="n">
        <v>55</v>
      </c>
      <c r="Y192" s="256"/>
    </row>
    <row r="193" customFormat="false" ht="12.5" hidden="false" customHeight="true" outlineLevel="0" collapsed="false">
      <c r="A193" s="210" t="s">
        <v>1103</v>
      </c>
      <c r="B193" s="211" t="s">
        <v>1121</v>
      </c>
      <c r="C193" s="246" t="s">
        <v>1355</v>
      </c>
      <c r="D193" s="247" t="s">
        <v>1329</v>
      </c>
      <c r="E193" s="248" t="n">
        <v>4.25</v>
      </c>
      <c r="F193" s="248" t="n">
        <v>22735</v>
      </c>
      <c r="G193" s="249" t="n">
        <v>24562</v>
      </c>
      <c r="H193" s="249" t="n">
        <v>8.25</v>
      </c>
      <c r="I193" s="249" t="n">
        <v>23839.86</v>
      </c>
      <c r="J193" s="250" t="n">
        <v>-730.389999999999</v>
      </c>
      <c r="K193" s="249"/>
      <c r="L193" s="249" t="n">
        <v>154</v>
      </c>
      <c r="M193" s="249" t="n">
        <v>348.86</v>
      </c>
      <c r="N193" s="251" t="n">
        <v>598.000000000001</v>
      </c>
      <c r="O193" s="252" t="n">
        <v>508.67</v>
      </c>
      <c r="P193" s="253" t="n">
        <v>89</v>
      </c>
      <c r="Q193" s="220"/>
      <c r="R193" s="251" t="n">
        <v>1308</v>
      </c>
      <c r="S193" s="252" t="n">
        <v>614</v>
      </c>
      <c r="T193" s="254" t="n">
        <v>9</v>
      </c>
      <c r="U193" s="251" t="n">
        <v>1576</v>
      </c>
      <c r="V193" s="252"/>
      <c r="W193" s="255" t="n">
        <v>9</v>
      </c>
      <c r="X193" s="250" t="n">
        <v>268</v>
      </c>
      <c r="Y193" s="256" t="n">
        <v>217</v>
      </c>
    </row>
    <row r="194" customFormat="false" ht="12.5" hidden="false" customHeight="true" outlineLevel="0" collapsed="false">
      <c r="A194" s="210" t="s">
        <v>1103</v>
      </c>
      <c r="B194" s="211" t="s">
        <v>1121</v>
      </c>
      <c r="C194" s="246" t="s">
        <v>1356</v>
      </c>
      <c r="D194" s="247" t="s">
        <v>1357</v>
      </c>
      <c r="E194" s="248" t="n">
        <v>9</v>
      </c>
      <c r="F194" s="248" t="n">
        <v>1099</v>
      </c>
      <c r="G194" s="249" t="n">
        <v>1215</v>
      </c>
      <c r="H194" s="249"/>
      <c r="I194" s="249" t="n">
        <v>1100.6</v>
      </c>
      <c r="J194" s="250" t="n">
        <v>-114.4</v>
      </c>
      <c r="K194" s="249"/>
      <c r="L194" s="249"/>
      <c r="M194" s="249" t="n">
        <v>-0.73</v>
      </c>
      <c r="N194" s="251" t="n">
        <v>11.3299999999999</v>
      </c>
      <c r="O194" s="252" t="n">
        <v>-38</v>
      </c>
      <c r="P194" s="253" t="n">
        <v>49</v>
      </c>
      <c r="Q194" s="220"/>
      <c r="R194" s="251" t="n">
        <v>120</v>
      </c>
      <c r="S194" s="252" t="n">
        <v>33</v>
      </c>
      <c r="T194" s="254" t="n">
        <v>9</v>
      </c>
      <c r="U194" s="251" t="n">
        <v>268</v>
      </c>
      <c r="V194" s="252"/>
      <c r="W194" s="255" t="n">
        <v>9</v>
      </c>
      <c r="X194" s="250" t="n">
        <v>148</v>
      </c>
      <c r="Y194" s="256" t="n">
        <v>36</v>
      </c>
    </row>
    <row r="195" customFormat="false" ht="12.5" hidden="false" customHeight="true" outlineLevel="0" collapsed="false">
      <c r="A195" s="210" t="s">
        <v>1103</v>
      </c>
      <c r="B195" s="211" t="s">
        <v>1121</v>
      </c>
      <c r="C195" s="246" t="s">
        <v>1358</v>
      </c>
      <c r="D195" s="247" t="s">
        <v>1331</v>
      </c>
      <c r="E195" s="248"/>
      <c r="F195" s="248" t="n">
        <v>560</v>
      </c>
      <c r="G195" s="249" t="n">
        <v>884</v>
      </c>
      <c r="H195" s="249"/>
      <c r="I195" s="249" t="n">
        <v>543.42</v>
      </c>
      <c r="J195" s="250" t="n">
        <v>-340.58</v>
      </c>
      <c r="K195" s="249"/>
      <c r="L195" s="249"/>
      <c r="M195" s="249" t="n">
        <v>-35.91</v>
      </c>
      <c r="N195" s="251" t="n">
        <v>19.33</v>
      </c>
      <c r="O195" s="252" t="n">
        <v>8</v>
      </c>
      <c r="P195" s="253" t="n">
        <v>11</v>
      </c>
      <c r="Q195" s="220"/>
      <c r="R195" s="251" t="n">
        <v>181</v>
      </c>
      <c r="S195" s="252" t="n">
        <v>56</v>
      </c>
      <c r="T195" s="254" t="n">
        <v>9</v>
      </c>
      <c r="U195" s="251" t="n">
        <v>215</v>
      </c>
      <c r="V195" s="252"/>
      <c r="W195" s="255" t="n">
        <v>9</v>
      </c>
      <c r="X195" s="250" t="n">
        <v>34</v>
      </c>
      <c r="Y195" s="256"/>
    </row>
    <row r="196" customFormat="false" ht="12.5" hidden="false" customHeight="true" outlineLevel="0" collapsed="false">
      <c r="A196" s="210" t="s">
        <v>20</v>
      </c>
      <c r="B196" s="211" t="s">
        <v>1121</v>
      </c>
      <c r="C196" s="235" t="n">
        <v>143</v>
      </c>
      <c r="D196" s="236" t="s">
        <v>1359</v>
      </c>
      <c r="E196" s="237"/>
      <c r="F196" s="237" t="n">
        <v>15210</v>
      </c>
      <c r="G196" s="238" t="n">
        <v>15605</v>
      </c>
      <c r="H196" s="238"/>
      <c r="I196" s="238" t="n">
        <v>15428</v>
      </c>
      <c r="J196" s="239" t="n">
        <v>-177.000000000001</v>
      </c>
      <c r="K196" s="238" t="n">
        <v>360</v>
      </c>
      <c r="L196" s="238"/>
      <c r="M196" s="238" t="n">
        <v>-178.97</v>
      </c>
      <c r="N196" s="240" t="n">
        <v>36.97</v>
      </c>
      <c r="O196" s="241" t="n">
        <v>20</v>
      </c>
      <c r="P196" s="242" t="n">
        <v>17</v>
      </c>
      <c r="Q196" s="220"/>
      <c r="R196" s="240" t="n">
        <v>1473.1</v>
      </c>
      <c r="S196" s="241" t="n">
        <v>219</v>
      </c>
      <c r="T196" s="243"/>
      <c r="U196" s="240" t="n">
        <v>1478.8</v>
      </c>
      <c r="V196" s="241" t="n">
        <v>42</v>
      </c>
      <c r="W196" s="244"/>
      <c r="X196" s="239" t="n">
        <v>5.69999999999993</v>
      </c>
      <c r="Y196" s="245" t="n">
        <v>20</v>
      </c>
    </row>
    <row r="197" customFormat="false" ht="12.5" hidden="false" customHeight="true" outlineLevel="0" collapsed="false">
      <c r="A197" s="210" t="s">
        <v>1103</v>
      </c>
      <c r="B197" s="211" t="s">
        <v>1121</v>
      </c>
      <c r="C197" s="246" t="s">
        <v>1360</v>
      </c>
      <c r="D197" s="247" t="s">
        <v>1193</v>
      </c>
      <c r="E197" s="248"/>
      <c r="F197" s="248" t="n">
        <v>12303.88</v>
      </c>
      <c r="G197" s="249" t="n">
        <v>12688</v>
      </c>
      <c r="H197" s="249"/>
      <c r="I197" s="249" t="n">
        <v>12307.81</v>
      </c>
      <c r="J197" s="250" t="n">
        <v>-380.190000000001</v>
      </c>
      <c r="K197" s="249"/>
      <c r="L197" s="249"/>
      <c r="M197" s="249" t="n">
        <v>-1.88</v>
      </c>
      <c r="N197" s="251" t="n">
        <v>5.81000000000029</v>
      </c>
      <c r="O197" s="252" t="n">
        <v>-14.65</v>
      </c>
      <c r="P197" s="253" t="n">
        <v>20</v>
      </c>
      <c r="Q197" s="220"/>
      <c r="R197" s="251" t="n">
        <v>1076.5</v>
      </c>
      <c r="S197" s="252" t="n">
        <v>140.7</v>
      </c>
      <c r="T197" s="254" t="n">
        <v>8.18</v>
      </c>
      <c r="U197" s="251" t="n">
        <v>1076.1</v>
      </c>
      <c r="V197" s="252" t="n">
        <v>33</v>
      </c>
      <c r="W197" s="255" t="n">
        <v>7.95</v>
      </c>
      <c r="X197" s="250" t="n">
        <v>-0.400000000000091</v>
      </c>
      <c r="Y197" s="256"/>
    </row>
    <row r="198" customFormat="false" ht="12.5" hidden="false" customHeight="true" outlineLevel="0" collapsed="false">
      <c r="A198" s="210" t="s">
        <v>1103</v>
      </c>
      <c r="B198" s="211" t="s">
        <v>1121</v>
      </c>
      <c r="C198" s="246" t="s">
        <v>1361</v>
      </c>
      <c r="D198" s="247" t="s">
        <v>1195</v>
      </c>
      <c r="E198" s="248"/>
      <c r="F198" s="248" t="n">
        <v>1126.67</v>
      </c>
      <c r="G198" s="249" t="n">
        <v>1111</v>
      </c>
      <c r="H198" s="249"/>
      <c r="I198" s="249" t="n">
        <v>1120.83</v>
      </c>
      <c r="J198" s="250" t="n">
        <v>9.82999999999993</v>
      </c>
      <c r="K198" s="249"/>
      <c r="L198" s="249"/>
      <c r="M198" s="249" t="n">
        <v>5.81</v>
      </c>
      <c r="N198" s="251" t="n">
        <v>-11.6500000000001</v>
      </c>
      <c r="O198" s="252" t="n">
        <v>-7.48</v>
      </c>
      <c r="P198" s="253" t="n">
        <v>-4</v>
      </c>
      <c r="Q198" s="220"/>
      <c r="R198" s="251" t="n">
        <v>199.6</v>
      </c>
      <c r="S198" s="252" t="n">
        <v>40.6</v>
      </c>
      <c r="T198" s="254" t="n">
        <v>7.74</v>
      </c>
      <c r="U198" s="251" t="n">
        <v>205.3</v>
      </c>
      <c r="V198" s="252" t="n">
        <v>5</v>
      </c>
      <c r="W198" s="255" t="n">
        <v>8.13</v>
      </c>
      <c r="X198" s="250" t="n">
        <v>5.70000000000002</v>
      </c>
      <c r="Y198" s="256" t="n">
        <v>20</v>
      </c>
    </row>
    <row r="199" customFormat="false" ht="12.5" hidden="false" customHeight="true" outlineLevel="0" collapsed="false">
      <c r="A199" s="210" t="s">
        <v>1103</v>
      </c>
      <c r="B199" s="211" t="s">
        <v>1121</v>
      </c>
      <c r="C199" s="246" t="s">
        <v>1362</v>
      </c>
      <c r="D199" s="247" t="s">
        <v>1197</v>
      </c>
      <c r="E199" s="248"/>
      <c r="F199" s="248" t="n">
        <v>1779.45</v>
      </c>
      <c r="G199" s="249" t="n">
        <v>1806</v>
      </c>
      <c r="H199" s="249"/>
      <c r="I199" s="249" t="n">
        <v>1999.36</v>
      </c>
      <c r="J199" s="250" t="n">
        <v>193.36</v>
      </c>
      <c r="K199" s="249" t="n">
        <v>360</v>
      </c>
      <c r="L199" s="249"/>
      <c r="M199" s="249" t="n">
        <v>-182.9</v>
      </c>
      <c r="N199" s="251" t="n">
        <v>42.8099999999999</v>
      </c>
      <c r="O199" s="252" t="n">
        <v>42.13</v>
      </c>
      <c r="P199" s="253" t="n">
        <v>1</v>
      </c>
      <c r="Q199" s="220"/>
      <c r="R199" s="251" t="n">
        <v>197</v>
      </c>
      <c r="S199" s="252" t="n">
        <v>37.7</v>
      </c>
      <c r="T199" s="254" t="n">
        <v>7.44</v>
      </c>
      <c r="U199" s="251" t="n">
        <v>197.4</v>
      </c>
      <c r="V199" s="252" t="n">
        <v>4</v>
      </c>
      <c r="W199" s="255" t="n">
        <v>7.41</v>
      </c>
      <c r="X199" s="250" t="n">
        <v>0.400000000000006</v>
      </c>
      <c r="Y199" s="256"/>
    </row>
    <row r="200" customFormat="false" ht="12.5" hidden="false" customHeight="true" outlineLevel="0" collapsed="false">
      <c r="A200" s="210" t="s">
        <v>18</v>
      </c>
      <c r="B200" s="211" t="s">
        <v>1121</v>
      </c>
      <c r="C200" s="224" t="s">
        <v>1363</v>
      </c>
      <c r="D200" s="225" t="s">
        <v>1364</v>
      </c>
      <c r="E200" s="226" t="n">
        <v>23.91</v>
      </c>
      <c r="F200" s="226" t="n">
        <v>112783.06</v>
      </c>
      <c r="G200" s="227" t="n">
        <v>114282</v>
      </c>
      <c r="H200" s="227" t="n">
        <v>90.27</v>
      </c>
      <c r="I200" s="227" t="n">
        <v>112379.2</v>
      </c>
      <c r="J200" s="228" t="n">
        <v>-1993.07</v>
      </c>
      <c r="K200" s="227"/>
      <c r="L200" s="227" t="n">
        <v>239.9</v>
      </c>
      <c r="M200" s="227" t="n">
        <v>-550.53</v>
      </c>
      <c r="N200" s="229" t="n">
        <v>-159.589999999998</v>
      </c>
      <c r="O200" s="230" t="n">
        <v>448.84</v>
      </c>
      <c r="P200" s="231" t="n">
        <v>-608</v>
      </c>
      <c r="Q200" s="220"/>
      <c r="R200" s="229" t="n">
        <v>7741.9</v>
      </c>
      <c r="S200" s="230" t="n">
        <v>3952.5</v>
      </c>
      <c r="T200" s="232"/>
      <c r="U200" s="229" t="n">
        <v>7614.3</v>
      </c>
      <c r="V200" s="230" t="n">
        <v>5402.9</v>
      </c>
      <c r="W200" s="233"/>
      <c r="X200" s="228" t="n">
        <v>-127.6</v>
      </c>
      <c r="Y200" s="234" t="n">
        <v>-44</v>
      </c>
    </row>
    <row r="201" customFormat="false" ht="12.5" hidden="false" customHeight="true" outlineLevel="0" collapsed="false">
      <c r="A201" s="210" t="s">
        <v>20</v>
      </c>
      <c r="B201" s="211" t="s">
        <v>1121</v>
      </c>
      <c r="C201" s="235" t="n">
        <v>156</v>
      </c>
      <c r="D201" s="236" t="s">
        <v>1365</v>
      </c>
      <c r="E201" s="237" t="n">
        <v>25.91</v>
      </c>
      <c r="F201" s="237" t="n">
        <v>91797</v>
      </c>
      <c r="G201" s="238" t="n">
        <v>92822</v>
      </c>
      <c r="H201" s="238" t="n">
        <v>92.77</v>
      </c>
      <c r="I201" s="238" t="n">
        <v>91313</v>
      </c>
      <c r="J201" s="239" t="n">
        <v>-1601.77</v>
      </c>
      <c r="K201" s="238"/>
      <c r="L201" s="238" t="n">
        <v>342.9</v>
      </c>
      <c r="M201" s="238" t="n">
        <v>-467.19</v>
      </c>
      <c r="N201" s="240" t="n">
        <v>-426.569999999997</v>
      </c>
      <c r="O201" s="241" t="n">
        <v>345.16</v>
      </c>
      <c r="P201" s="242" t="n">
        <v>-772</v>
      </c>
      <c r="Q201" s="220"/>
      <c r="R201" s="240" t="n">
        <v>5997</v>
      </c>
      <c r="S201" s="241" t="n">
        <v>3337</v>
      </c>
      <c r="T201" s="243"/>
      <c r="U201" s="240" t="n">
        <v>5750</v>
      </c>
      <c r="V201" s="241" t="n">
        <v>4265</v>
      </c>
      <c r="W201" s="244"/>
      <c r="X201" s="239" t="n">
        <v>-247</v>
      </c>
      <c r="Y201" s="245" t="n">
        <v>-200</v>
      </c>
    </row>
    <row r="202" customFormat="false" ht="12.5" hidden="false" customHeight="true" outlineLevel="0" collapsed="false">
      <c r="A202" s="210" t="s">
        <v>1103</v>
      </c>
      <c r="B202" s="211" t="s">
        <v>1121</v>
      </c>
      <c r="C202" s="246" t="s">
        <v>1366</v>
      </c>
      <c r="D202" s="247" t="s">
        <v>1116</v>
      </c>
      <c r="E202" s="248"/>
      <c r="F202" s="248" t="n">
        <v>1431</v>
      </c>
      <c r="G202" s="249" t="n">
        <v>1822</v>
      </c>
      <c r="H202" s="249"/>
      <c r="I202" s="249" t="n">
        <v>1573</v>
      </c>
      <c r="J202" s="250" t="n">
        <v>-249</v>
      </c>
      <c r="K202" s="249"/>
      <c r="L202" s="249"/>
      <c r="M202" s="249" t="n">
        <v>269.02</v>
      </c>
      <c r="N202" s="251" t="n">
        <v>-127.02</v>
      </c>
      <c r="O202" s="252" t="n">
        <v>-71.08</v>
      </c>
      <c r="P202" s="253" t="n">
        <v>-56</v>
      </c>
      <c r="Q202" s="220"/>
      <c r="R202" s="251" t="n">
        <v>158</v>
      </c>
      <c r="S202" s="252" t="n">
        <v>113</v>
      </c>
      <c r="T202" s="254" t="n">
        <v>6.24</v>
      </c>
      <c r="U202" s="251" t="n">
        <v>69</v>
      </c>
      <c r="V202" s="252" t="n">
        <v>8</v>
      </c>
      <c r="W202" s="255" t="n">
        <v>7.25</v>
      </c>
      <c r="X202" s="250" t="n">
        <v>-89</v>
      </c>
      <c r="Y202" s="256" t="n">
        <v>-62</v>
      </c>
    </row>
    <row r="203" customFormat="false" ht="12.5" hidden="false" customHeight="true" outlineLevel="0" collapsed="false">
      <c r="A203" s="210" t="s">
        <v>1103</v>
      </c>
      <c r="B203" s="211" t="s">
        <v>1121</v>
      </c>
      <c r="C203" s="246" t="s">
        <v>1367</v>
      </c>
      <c r="D203" s="247" t="s">
        <v>1060</v>
      </c>
      <c r="E203" s="248" t="n">
        <v>2.33</v>
      </c>
      <c r="F203" s="248" t="n">
        <v>28833</v>
      </c>
      <c r="G203" s="249" t="n">
        <v>30873</v>
      </c>
      <c r="H203" s="249" t="n">
        <v>6</v>
      </c>
      <c r="I203" s="249" t="n">
        <v>29096</v>
      </c>
      <c r="J203" s="250" t="n">
        <v>-1783</v>
      </c>
      <c r="K203" s="249"/>
      <c r="L203" s="249" t="n">
        <v>9.83</v>
      </c>
      <c r="M203" s="249" t="n">
        <v>732.3</v>
      </c>
      <c r="N203" s="251" t="n">
        <v>-482.799999999998</v>
      </c>
      <c r="O203" s="252" t="n">
        <v>-95.84</v>
      </c>
      <c r="P203" s="253" t="n">
        <v>-387</v>
      </c>
      <c r="Q203" s="220"/>
      <c r="R203" s="251" t="n">
        <v>1655</v>
      </c>
      <c r="S203" s="252" t="n">
        <v>990</v>
      </c>
      <c r="T203" s="254" t="n">
        <v>6.38</v>
      </c>
      <c r="U203" s="251" t="n">
        <v>1221</v>
      </c>
      <c r="V203" s="252" t="n">
        <v>811</v>
      </c>
      <c r="W203" s="255" t="n">
        <v>7.83</v>
      </c>
      <c r="X203" s="250" t="n">
        <v>-434</v>
      </c>
      <c r="Y203" s="256" t="n">
        <v>317</v>
      </c>
    </row>
    <row r="204" customFormat="false" ht="12.5" hidden="false" customHeight="true" outlineLevel="0" collapsed="false">
      <c r="A204" s="210" t="s">
        <v>1103</v>
      </c>
      <c r="B204" s="211" t="s">
        <v>1121</v>
      </c>
      <c r="C204" s="246" t="s">
        <v>1368</v>
      </c>
      <c r="D204" s="247" t="s">
        <v>1061</v>
      </c>
      <c r="E204" s="248" t="n">
        <v>11</v>
      </c>
      <c r="F204" s="248" t="n">
        <v>36963</v>
      </c>
      <c r="G204" s="249" t="n">
        <v>38467</v>
      </c>
      <c r="H204" s="249" t="n">
        <v>34.47</v>
      </c>
      <c r="I204" s="249" t="n">
        <v>36763</v>
      </c>
      <c r="J204" s="250" t="n">
        <v>-1738.47</v>
      </c>
      <c r="K204" s="249"/>
      <c r="L204" s="249" t="n">
        <v>178.43</v>
      </c>
      <c r="M204" s="249" t="n">
        <v>595.68</v>
      </c>
      <c r="N204" s="251" t="n">
        <v>-997.580000000001</v>
      </c>
      <c r="O204" s="252" t="n">
        <v>-174.74</v>
      </c>
      <c r="P204" s="253" t="n">
        <v>-823</v>
      </c>
      <c r="Q204" s="220"/>
      <c r="R204" s="251" t="n">
        <v>2522</v>
      </c>
      <c r="S204" s="252" t="n">
        <v>1558</v>
      </c>
      <c r="T204" s="254" t="n">
        <v>6.38</v>
      </c>
      <c r="U204" s="251" t="n">
        <v>1561</v>
      </c>
      <c r="V204" s="252" t="n">
        <v>1045</v>
      </c>
      <c r="W204" s="255" t="n">
        <v>8.63</v>
      </c>
      <c r="X204" s="250" t="n">
        <v>-961</v>
      </c>
      <c r="Y204" s="256" t="n">
        <v>-826</v>
      </c>
    </row>
    <row r="205" customFormat="false" ht="12.5" hidden="false" customHeight="true" outlineLevel="0" collapsed="false">
      <c r="A205" s="210" t="s">
        <v>1103</v>
      </c>
      <c r="B205" s="211" t="s">
        <v>1121</v>
      </c>
      <c r="C205" s="246" t="s">
        <v>1369</v>
      </c>
      <c r="D205" s="247" t="s">
        <v>1062</v>
      </c>
      <c r="E205" s="248" t="n">
        <v>12.58</v>
      </c>
      <c r="F205" s="248" t="n">
        <v>24570</v>
      </c>
      <c r="G205" s="249" t="n">
        <v>21660</v>
      </c>
      <c r="H205" s="249" t="n">
        <v>52.3</v>
      </c>
      <c r="I205" s="249" t="n">
        <v>23881</v>
      </c>
      <c r="J205" s="250" t="n">
        <v>2168.7</v>
      </c>
      <c r="K205" s="249"/>
      <c r="L205" s="249" t="n">
        <v>154.64</v>
      </c>
      <c r="M205" s="249" t="n">
        <v>-2064.19</v>
      </c>
      <c r="N205" s="251" t="n">
        <v>1180.83</v>
      </c>
      <c r="O205" s="252" t="n">
        <v>686.82</v>
      </c>
      <c r="P205" s="253" t="n">
        <v>494</v>
      </c>
      <c r="Q205" s="220"/>
      <c r="R205" s="251" t="n">
        <v>1662</v>
      </c>
      <c r="S205" s="252" t="n">
        <v>676</v>
      </c>
      <c r="T205" s="254" t="n">
        <v>6.45</v>
      </c>
      <c r="U205" s="251" t="n">
        <v>2899</v>
      </c>
      <c r="V205" s="252" t="n">
        <v>2401</v>
      </c>
      <c r="W205" s="255" t="n">
        <v>7.2</v>
      </c>
      <c r="X205" s="250" t="n">
        <v>1237</v>
      </c>
      <c r="Y205" s="256" t="n">
        <v>371</v>
      </c>
    </row>
    <row r="206" customFormat="false" ht="12.5" hidden="false" customHeight="true" outlineLevel="0" collapsed="false">
      <c r="A206" s="210" t="s">
        <v>20</v>
      </c>
      <c r="B206" s="211" t="s">
        <v>1121</v>
      </c>
      <c r="C206" s="235" t="n">
        <v>218</v>
      </c>
      <c r="D206" s="236" t="s">
        <v>1370</v>
      </c>
      <c r="E206" s="237" t="n">
        <v>-3</v>
      </c>
      <c r="F206" s="237" t="n">
        <v>4743.01</v>
      </c>
      <c r="G206" s="238" t="n">
        <v>4996</v>
      </c>
      <c r="H206" s="238" t="n">
        <v>-3.5</v>
      </c>
      <c r="I206" s="238" t="n">
        <v>4826.61</v>
      </c>
      <c r="J206" s="239" t="n">
        <v>-165.89</v>
      </c>
      <c r="K206" s="238"/>
      <c r="L206" s="238" t="n">
        <v>-51</v>
      </c>
      <c r="M206" s="238" t="n">
        <v>62.38</v>
      </c>
      <c r="N206" s="240" t="n">
        <v>72.7199999999999</v>
      </c>
      <c r="O206" s="241" t="n">
        <v>19.97</v>
      </c>
      <c r="P206" s="242" t="n">
        <v>53</v>
      </c>
      <c r="Q206" s="220"/>
      <c r="R206" s="240" t="n">
        <v>960.9</v>
      </c>
      <c r="S206" s="241" t="n">
        <v>162.5</v>
      </c>
      <c r="T206" s="243"/>
      <c r="U206" s="240" t="n">
        <v>1032.3</v>
      </c>
      <c r="V206" s="241" t="n">
        <v>538.9</v>
      </c>
      <c r="W206" s="244"/>
      <c r="X206" s="239" t="n">
        <v>71.4</v>
      </c>
      <c r="Y206" s="245" t="n">
        <v>108</v>
      </c>
    </row>
    <row r="207" customFormat="false" ht="12.5" hidden="false" customHeight="true" outlineLevel="0" collapsed="false">
      <c r="A207" s="210" t="s">
        <v>1103</v>
      </c>
      <c r="B207" s="211" t="s">
        <v>1121</v>
      </c>
      <c r="C207" s="246" t="s">
        <v>1371</v>
      </c>
      <c r="D207" s="247" t="s">
        <v>1116</v>
      </c>
      <c r="E207" s="248" t="n">
        <v>1</v>
      </c>
      <c r="F207" s="248" t="n">
        <v>782.91</v>
      </c>
      <c r="G207" s="249" t="n">
        <v>807</v>
      </c>
      <c r="H207" s="249"/>
      <c r="I207" s="249" t="n">
        <v>805.17</v>
      </c>
      <c r="J207" s="250" t="n">
        <v>-1.83000000000004</v>
      </c>
      <c r="K207" s="249"/>
      <c r="L207" s="249" t="n">
        <v>-12</v>
      </c>
      <c r="M207" s="249" t="n">
        <v>28.58</v>
      </c>
      <c r="N207" s="251" t="n">
        <v>6.67999999999999</v>
      </c>
      <c r="O207" s="252" t="n">
        <v>10.26</v>
      </c>
      <c r="P207" s="253" t="n">
        <v>-4</v>
      </c>
      <c r="Q207" s="220"/>
      <c r="R207" s="251" t="n">
        <v>268.4</v>
      </c>
      <c r="S207" s="252" t="n">
        <v>28.8</v>
      </c>
      <c r="T207" s="254" t="n">
        <v>6.92</v>
      </c>
      <c r="U207" s="251" t="n">
        <v>268.4</v>
      </c>
      <c r="V207" s="252" t="n">
        <v>109</v>
      </c>
      <c r="W207" s="255" t="n">
        <v>7.08</v>
      </c>
      <c r="X207" s="250"/>
      <c r="Y207" s="256" t="n">
        <v>43</v>
      </c>
    </row>
    <row r="208" customFormat="false" ht="12.5" hidden="false" customHeight="true" outlineLevel="0" collapsed="false">
      <c r="A208" s="210" t="s">
        <v>1103</v>
      </c>
      <c r="B208" s="211" t="s">
        <v>1121</v>
      </c>
      <c r="C208" s="246" t="s">
        <v>1372</v>
      </c>
      <c r="D208" s="247" t="s">
        <v>1060</v>
      </c>
      <c r="E208" s="248" t="n">
        <v>1</v>
      </c>
      <c r="F208" s="248" t="n">
        <v>2102.57</v>
      </c>
      <c r="G208" s="249" t="n">
        <v>2524</v>
      </c>
      <c r="H208" s="249" t="n">
        <v>1.5</v>
      </c>
      <c r="I208" s="249" t="n">
        <v>2199.54</v>
      </c>
      <c r="J208" s="250" t="n">
        <v>-325.96</v>
      </c>
      <c r="K208" s="249"/>
      <c r="L208" s="249" t="n">
        <v>-41</v>
      </c>
      <c r="M208" s="249" t="n">
        <v>74.31</v>
      </c>
      <c r="N208" s="251" t="n">
        <v>63.1599999999998</v>
      </c>
      <c r="O208" s="252" t="n">
        <v>25.45</v>
      </c>
      <c r="P208" s="253" t="n">
        <v>38</v>
      </c>
      <c r="Q208" s="220"/>
      <c r="R208" s="251" t="n">
        <v>342</v>
      </c>
      <c r="S208" s="252" t="n">
        <v>49.8</v>
      </c>
      <c r="T208" s="254" t="n">
        <v>6.23</v>
      </c>
      <c r="U208" s="251" t="n">
        <v>420</v>
      </c>
      <c r="V208" s="252" t="n">
        <v>219.9</v>
      </c>
      <c r="W208" s="255" t="n">
        <v>6.41</v>
      </c>
      <c r="X208" s="250" t="n">
        <v>78</v>
      </c>
      <c r="Y208" s="256" t="n">
        <v>235</v>
      </c>
    </row>
    <row r="209" customFormat="false" ht="12.5" hidden="false" customHeight="true" outlineLevel="0" collapsed="false">
      <c r="A209" s="210" t="s">
        <v>1103</v>
      </c>
      <c r="B209" s="211" t="s">
        <v>1121</v>
      </c>
      <c r="C209" s="246" t="s">
        <v>1373</v>
      </c>
      <c r="D209" s="247" t="s">
        <v>1061</v>
      </c>
      <c r="E209" s="248" t="n">
        <v>-2</v>
      </c>
      <c r="F209" s="248" t="n">
        <v>1395.59</v>
      </c>
      <c r="G209" s="249" t="n">
        <v>1304</v>
      </c>
      <c r="H209" s="249" t="n">
        <v>-3</v>
      </c>
      <c r="I209" s="249" t="n">
        <v>1381.27</v>
      </c>
      <c r="J209" s="250" t="n">
        <v>80.27</v>
      </c>
      <c r="K209" s="249"/>
      <c r="L209" s="249" t="n">
        <v>2</v>
      </c>
      <c r="M209" s="249" t="n">
        <v>-12.26</v>
      </c>
      <c r="N209" s="251" t="n">
        <v>-3.05999999999994</v>
      </c>
      <c r="O209" s="252" t="n">
        <v>-5.05</v>
      </c>
      <c r="P209" s="253" t="n">
        <v>2</v>
      </c>
      <c r="Q209" s="220"/>
      <c r="R209" s="251" t="n">
        <v>220.3</v>
      </c>
      <c r="S209" s="252" t="n">
        <v>68.8</v>
      </c>
      <c r="T209" s="254" t="n">
        <v>6.2</v>
      </c>
      <c r="U209" s="251" t="n">
        <v>210.8</v>
      </c>
      <c r="V209" s="252" t="n">
        <v>108</v>
      </c>
      <c r="W209" s="255" t="n">
        <v>5.78</v>
      </c>
      <c r="X209" s="250" t="n">
        <v>-9.5</v>
      </c>
      <c r="Y209" s="256" t="n">
        <v>-92</v>
      </c>
    </row>
    <row r="210" customFormat="false" ht="12.5" hidden="false" customHeight="true" outlineLevel="0" collapsed="false">
      <c r="A210" s="210" t="s">
        <v>1103</v>
      </c>
      <c r="B210" s="211" t="s">
        <v>1121</v>
      </c>
      <c r="C210" s="246" t="s">
        <v>1374</v>
      </c>
      <c r="D210" s="247" t="s">
        <v>1062</v>
      </c>
      <c r="E210" s="248" t="n">
        <v>-3</v>
      </c>
      <c r="F210" s="248" t="n">
        <v>461.94</v>
      </c>
      <c r="G210" s="249" t="n">
        <v>361</v>
      </c>
      <c r="H210" s="249" t="n">
        <v>-2</v>
      </c>
      <c r="I210" s="249" t="n">
        <v>440.63</v>
      </c>
      <c r="J210" s="250" t="n">
        <v>81.63</v>
      </c>
      <c r="K210" s="249"/>
      <c r="L210" s="249"/>
      <c r="M210" s="249" t="n">
        <v>-28.25</v>
      </c>
      <c r="N210" s="251" t="n">
        <v>5.94</v>
      </c>
      <c r="O210" s="252" t="n">
        <v>-10.69</v>
      </c>
      <c r="P210" s="253" t="n">
        <v>17</v>
      </c>
      <c r="Q210" s="220"/>
      <c r="R210" s="251" t="n">
        <v>130.2</v>
      </c>
      <c r="S210" s="252" t="n">
        <v>15.1</v>
      </c>
      <c r="T210" s="254" t="n">
        <v>7.53</v>
      </c>
      <c r="U210" s="251" t="n">
        <v>133.1</v>
      </c>
      <c r="V210" s="252" t="n">
        <v>102</v>
      </c>
      <c r="W210" s="255" t="n">
        <v>6.15</v>
      </c>
      <c r="X210" s="250" t="n">
        <v>2.90000000000001</v>
      </c>
      <c r="Y210" s="256" t="n">
        <v>-78</v>
      </c>
    </row>
    <row r="211" customFormat="false" ht="12.5" hidden="false" customHeight="true" outlineLevel="0" collapsed="false">
      <c r="A211" s="210" t="s">
        <v>20</v>
      </c>
      <c r="B211" s="211" t="s">
        <v>1121</v>
      </c>
      <c r="C211" s="235" t="n">
        <v>302</v>
      </c>
      <c r="D211" s="236" t="s">
        <v>1375</v>
      </c>
      <c r="E211" s="237" t="n">
        <v>1</v>
      </c>
      <c r="F211" s="237" t="n">
        <v>16243.05</v>
      </c>
      <c r="G211" s="238" t="n">
        <v>16464</v>
      </c>
      <c r="H211" s="238" t="n">
        <v>1</v>
      </c>
      <c r="I211" s="238" t="n">
        <v>16239.59</v>
      </c>
      <c r="J211" s="239" t="n">
        <v>-225.410000000001</v>
      </c>
      <c r="K211" s="238"/>
      <c r="L211" s="238" t="n">
        <v>-52</v>
      </c>
      <c r="M211" s="238" t="n">
        <v>-145.72</v>
      </c>
      <c r="N211" s="240" t="n">
        <v>194.259999999998</v>
      </c>
      <c r="O211" s="241" t="n">
        <v>83.71</v>
      </c>
      <c r="P211" s="242" t="n">
        <v>111</v>
      </c>
      <c r="Q211" s="220"/>
      <c r="R211" s="240" t="n">
        <v>784</v>
      </c>
      <c r="S211" s="241" t="n">
        <v>453</v>
      </c>
      <c r="T211" s="243"/>
      <c r="U211" s="240" t="n">
        <v>832</v>
      </c>
      <c r="V211" s="241" t="n">
        <v>599</v>
      </c>
      <c r="W211" s="244"/>
      <c r="X211" s="239" t="n">
        <v>48</v>
      </c>
      <c r="Y211" s="245" t="n">
        <v>48</v>
      </c>
    </row>
    <row r="212" customFormat="false" ht="12.5" hidden="false" customHeight="true" outlineLevel="0" collapsed="false">
      <c r="A212" s="210" t="s">
        <v>1103</v>
      </c>
      <c r="B212" s="211" t="s">
        <v>1121</v>
      </c>
      <c r="C212" s="246" t="s">
        <v>1376</v>
      </c>
      <c r="D212" s="247" t="s">
        <v>1116</v>
      </c>
      <c r="E212" s="248"/>
      <c r="F212" s="248" t="n">
        <v>384.91</v>
      </c>
      <c r="G212" s="249" t="n">
        <v>308.85</v>
      </c>
      <c r="H212" s="249"/>
      <c r="I212" s="249" t="n">
        <v>439.77</v>
      </c>
      <c r="J212" s="250" t="n">
        <v>130.92</v>
      </c>
      <c r="K212" s="249"/>
      <c r="L212" s="249"/>
      <c r="M212" s="249" t="n">
        <v>88.87</v>
      </c>
      <c r="N212" s="251" t="n">
        <v>-34.0100000000001</v>
      </c>
      <c r="O212" s="252" t="n">
        <v>-0.79</v>
      </c>
      <c r="P212" s="253" t="n">
        <v>-33</v>
      </c>
      <c r="Q212" s="220"/>
      <c r="R212" s="251" t="n">
        <v>71</v>
      </c>
      <c r="S212" s="252" t="n">
        <v>62</v>
      </c>
      <c r="T212" s="254" t="n">
        <v>6.3</v>
      </c>
      <c r="U212" s="251" t="n">
        <v>10</v>
      </c>
      <c r="V212" s="252" t="n">
        <v>1</v>
      </c>
      <c r="W212" s="255" t="n">
        <v>5.3</v>
      </c>
      <c r="X212" s="250" t="n">
        <v>-61</v>
      </c>
      <c r="Y212" s="256" t="n">
        <v>-15</v>
      </c>
    </row>
    <row r="213" customFormat="false" ht="12.5" hidden="false" customHeight="true" outlineLevel="0" collapsed="false">
      <c r="A213" s="210" t="s">
        <v>1103</v>
      </c>
      <c r="B213" s="211" t="s">
        <v>1121</v>
      </c>
      <c r="C213" s="246" t="s">
        <v>1377</v>
      </c>
      <c r="D213" s="247" t="s">
        <v>1060</v>
      </c>
      <c r="E213" s="248" t="n">
        <v>1</v>
      </c>
      <c r="F213" s="248" t="n">
        <v>3998.03</v>
      </c>
      <c r="G213" s="249" t="n">
        <v>3936.92</v>
      </c>
      <c r="H213" s="249" t="n">
        <v>1</v>
      </c>
      <c r="I213" s="249" t="n">
        <v>4075.43</v>
      </c>
      <c r="J213" s="250" t="n">
        <v>137.51</v>
      </c>
      <c r="K213" s="249"/>
      <c r="L213" s="249" t="n">
        <v>-6</v>
      </c>
      <c r="M213" s="249" t="n">
        <v>-24.03</v>
      </c>
      <c r="N213" s="251" t="n">
        <v>107.43</v>
      </c>
      <c r="O213" s="252" t="n">
        <v>45.83</v>
      </c>
      <c r="P213" s="253" t="n">
        <v>62</v>
      </c>
      <c r="Q213" s="220"/>
      <c r="R213" s="251" t="n">
        <v>201</v>
      </c>
      <c r="S213" s="252" t="n">
        <v>83</v>
      </c>
      <c r="T213" s="254" t="n">
        <v>8.2</v>
      </c>
      <c r="U213" s="251" t="n">
        <v>240</v>
      </c>
      <c r="V213" s="252" t="n">
        <v>148</v>
      </c>
      <c r="W213" s="255" t="n">
        <v>5.9</v>
      </c>
      <c r="X213" s="250" t="n">
        <v>39</v>
      </c>
      <c r="Y213" s="256" t="n">
        <v>44</v>
      </c>
    </row>
    <row r="214" customFormat="false" ht="12.5" hidden="false" customHeight="true" outlineLevel="0" collapsed="false">
      <c r="A214" s="210" t="s">
        <v>1103</v>
      </c>
      <c r="B214" s="211" t="s">
        <v>1121</v>
      </c>
      <c r="C214" s="246" t="s">
        <v>1378</v>
      </c>
      <c r="D214" s="247" t="s">
        <v>1061</v>
      </c>
      <c r="E214" s="248"/>
      <c r="F214" s="248" t="n">
        <v>7117.05</v>
      </c>
      <c r="G214" s="249" t="n">
        <v>7113.52</v>
      </c>
      <c r="H214" s="249"/>
      <c r="I214" s="249" t="n">
        <v>7081.44</v>
      </c>
      <c r="J214" s="250" t="n">
        <v>-32.0800000000008</v>
      </c>
      <c r="K214" s="249"/>
      <c r="L214" s="249" t="n">
        <v>-30</v>
      </c>
      <c r="M214" s="249" t="n">
        <v>-7.03</v>
      </c>
      <c r="N214" s="251" t="n">
        <v>1.41999999999942</v>
      </c>
      <c r="O214" s="252" t="n">
        <v>3.93</v>
      </c>
      <c r="P214" s="253" t="n">
        <v>-3</v>
      </c>
      <c r="Q214" s="220"/>
      <c r="R214" s="251" t="n">
        <v>332</v>
      </c>
      <c r="S214" s="252" t="n">
        <v>220</v>
      </c>
      <c r="T214" s="254" t="n">
        <v>8.7</v>
      </c>
      <c r="U214" s="251" t="n">
        <v>215</v>
      </c>
      <c r="V214" s="252" t="n">
        <v>140</v>
      </c>
      <c r="W214" s="255" t="n">
        <v>6.5</v>
      </c>
      <c r="X214" s="250" t="n">
        <v>-117</v>
      </c>
      <c r="Y214" s="256" t="n">
        <v>-126</v>
      </c>
    </row>
    <row r="215" customFormat="false" ht="12.5" hidden="false" customHeight="true" outlineLevel="0" collapsed="false">
      <c r="A215" s="210" t="s">
        <v>1103</v>
      </c>
      <c r="B215" s="211" t="s">
        <v>1121</v>
      </c>
      <c r="C215" s="246" t="s">
        <v>1379</v>
      </c>
      <c r="D215" s="247" t="s">
        <v>1062</v>
      </c>
      <c r="E215" s="248"/>
      <c r="F215" s="248" t="n">
        <v>4743.06</v>
      </c>
      <c r="G215" s="249" t="n">
        <v>5104.71</v>
      </c>
      <c r="H215" s="249"/>
      <c r="I215" s="249" t="n">
        <v>4642.95</v>
      </c>
      <c r="J215" s="250" t="n">
        <v>-461.76</v>
      </c>
      <c r="K215" s="249"/>
      <c r="L215" s="249" t="n">
        <v>-16</v>
      </c>
      <c r="M215" s="249" t="n">
        <v>-203.53</v>
      </c>
      <c r="N215" s="251" t="n">
        <v>119.419999999999</v>
      </c>
      <c r="O215" s="252" t="n">
        <v>34.74</v>
      </c>
      <c r="P215" s="253" t="n">
        <v>85</v>
      </c>
      <c r="Q215" s="220"/>
      <c r="R215" s="251" t="n">
        <v>180</v>
      </c>
      <c r="S215" s="252" t="n">
        <v>88</v>
      </c>
      <c r="T215" s="254" t="n">
        <v>5.8</v>
      </c>
      <c r="U215" s="251" t="n">
        <v>367</v>
      </c>
      <c r="V215" s="252" t="n">
        <v>310</v>
      </c>
      <c r="W215" s="255" t="n">
        <v>6.7</v>
      </c>
      <c r="X215" s="250" t="n">
        <v>187</v>
      </c>
      <c r="Y215" s="256" t="n">
        <v>145</v>
      </c>
    </row>
    <row r="216" customFormat="false" ht="12.5" hidden="false" customHeight="true" outlineLevel="0" collapsed="false">
      <c r="A216" s="210" t="s">
        <v>18</v>
      </c>
      <c r="B216" s="211" t="s">
        <v>1121</v>
      </c>
      <c r="C216" s="224" t="s">
        <v>1380</v>
      </c>
      <c r="D216" s="225" t="s">
        <v>1052</v>
      </c>
      <c r="E216" s="226" t="n">
        <v>29</v>
      </c>
      <c r="F216" s="226" t="n">
        <v>91175.77</v>
      </c>
      <c r="G216" s="227" t="n">
        <v>94697.63</v>
      </c>
      <c r="H216" s="227" t="n">
        <v>24.16</v>
      </c>
      <c r="I216" s="227" t="n">
        <v>93126.66</v>
      </c>
      <c r="J216" s="228" t="n">
        <v>-1595.13</v>
      </c>
      <c r="K216" s="227"/>
      <c r="L216" s="227" t="n">
        <v>0.300000000000001</v>
      </c>
      <c r="M216" s="227" t="n">
        <v>-1024.99</v>
      </c>
      <c r="N216" s="229" t="n">
        <v>2980.42</v>
      </c>
      <c r="O216" s="230" t="n">
        <v>1452</v>
      </c>
      <c r="P216" s="231" t="n">
        <v>1530</v>
      </c>
      <c r="Q216" s="220"/>
      <c r="R216" s="229" t="n">
        <v>8967</v>
      </c>
      <c r="S216" s="230" t="n">
        <v>1596.8</v>
      </c>
      <c r="T216" s="232"/>
      <c r="U216" s="229" t="n">
        <v>11037.8</v>
      </c>
      <c r="V216" s="230" t="n">
        <v>3552.8</v>
      </c>
      <c r="W216" s="233"/>
      <c r="X216" s="228" t="n">
        <v>2070.8</v>
      </c>
      <c r="Y216" s="234" t="n">
        <v>1925</v>
      </c>
    </row>
    <row r="217" customFormat="false" ht="12.5" hidden="false" customHeight="true" outlineLevel="0" collapsed="false">
      <c r="A217" s="210" t="s">
        <v>20</v>
      </c>
      <c r="B217" s="211" t="s">
        <v>1121</v>
      </c>
      <c r="C217" s="235" t="n">
        <v>166</v>
      </c>
      <c r="D217" s="236" t="s">
        <v>1381</v>
      </c>
      <c r="E217" s="237"/>
      <c r="F217" s="237" t="n">
        <v>35977.5</v>
      </c>
      <c r="G217" s="238" t="n">
        <v>37522.11</v>
      </c>
      <c r="H217" s="238"/>
      <c r="I217" s="238" t="n">
        <v>37307.62</v>
      </c>
      <c r="J217" s="239" t="n">
        <v>-214.489999999999</v>
      </c>
      <c r="K217" s="238"/>
      <c r="L217" s="238"/>
      <c r="M217" s="238" t="n">
        <v>-465.99</v>
      </c>
      <c r="N217" s="240" t="n">
        <v>1796.11</v>
      </c>
      <c r="O217" s="241" t="n">
        <v>909.33</v>
      </c>
      <c r="P217" s="242" t="n">
        <v>888</v>
      </c>
      <c r="Q217" s="220"/>
      <c r="R217" s="240" t="n">
        <v>3032</v>
      </c>
      <c r="S217" s="241" t="n">
        <v>669</v>
      </c>
      <c r="T217" s="243"/>
      <c r="U217" s="240" t="n">
        <v>4305</v>
      </c>
      <c r="V217" s="241" t="n">
        <v>3189</v>
      </c>
      <c r="W217" s="244"/>
      <c r="X217" s="239" t="n">
        <v>1273</v>
      </c>
      <c r="Y217" s="245" t="n">
        <v>1274</v>
      </c>
    </row>
    <row r="218" customFormat="false" ht="12.5" hidden="false" customHeight="true" outlineLevel="0" collapsed="false">
      <c r="A218" s="210" t="s">
        <v>1103</v>
      </c>
      <c r="B218" s="211" t="s">
        <v>1121</v>
      </c>
      <c r="C218" s="246" t="s">
        <v>1382</v>
      </c>
      <c r="D218" s="247" t="s">
        <v>1383</v>
      </c>
      <c r="E218" s="248"/>
      <c r="F218" s="248" t="n">
        <v>9699.76</v>
      </c>
      <c r="G218" s="249" t="n">
        <v>10263.96</v>
      </c>
      <c r="H218" s="249"/>
      <c r="I218" s="249" t="n">
        <v>9988.55</v>
      </c>
      <c r="J218" s="250" t="n">
        <v>-275.41</v>
      </c>
      <c r="K218" s="249"/>
      <c r="L218" s="249"/>
      <c r="M218" s="249" t="n">
        <v>-16.71</v>
      </c>
      <c r="N218" s="251" t="n">
        <v>305.499999999999</v>
      </c>
      <c r="O218" s="252" t="n">
        <v>-76.16</v>
      </c>
      <c r="P218" s="253" t="n">
        <v>382</v>
      </c>
      <c r="Q218" s="220"/>
      <c r="R218" s="251" t="n">
        <v>463</v>
      </c>
      <c r="S218" s="252" t="n">
        <v>193</v>
      </c>
      <c r="T218" s="254" t="n">
        <v>6.5</v>
      </c>
      <c r="U218" s="251" t="n">
        <v>834</v>
      </c>
      <c r="V218" s="252" t="n">
        <v>535</v>
      </c>
      <c r="W218" s="255" t="n">
        <v>3.9</v>
      </c>
      <c r="X218" s="250" t="n">
        <v>371</v>
      </c>
      <c r="Y218" s="256" t="n">
        <v>305</v>
      </c>
    </row>
    <row r="219" customFormat="false" ht="12.5" hidden="false" customHeight="true" outlineLevel="0" collapsed="false">
      <c r="A219" s="210" t="s">
        <v>1103</v>
      </c>
      <c r="B219" s="211" t="s">
        <v>1121</v>
      </c>
      <c r="C219" s="246" t="s">
        <v>1384</v>
      </c>
      <c r="D219" s="247" t="s">
        <v>1327</v>
      </c>
      <c r="E219" s="248"/>
      <c r="F219" s="248" t="n">
        <v>4831.43</v>
      </c>
      <c r="G219" s="249" t="n">
        <v>4800.11</v>
      </c>
      <c r="H219" s="249"/>
      <c r="I219" s="249" t="n">
        <v>5465.31</v>
      </c>
      <c r="J219" s="250" t="n">
        <v>665.200000000001</v>
      </c>
      <c r="K219" s="249"/>
      <c r="L219" s="249"/>
      <c r="M219" s="249" t="n">
        <v>46.4</v>
      </c>
      <c r="N219" s="251" t="n">
        <v>587.48</v>
      </c>
      <c r="O219" s="252" t="n">
        <v>358.95</v>
      </c>
      <c r="P219" s="253" t="n">
        <v>229</v>
      </c>
      <c r="Q219" s="220"/>
      <c r="R219" s="251" t="n">
        <v>628</v>
      </c>
      <c r="S219" s="252" t="n">
        <v>42</v>
      </c>
      <c r="T219" s="254" t="n">
        <v>5.9</v>
      </c>
      <c r="U219" s="251" t="n">
        <v>1059</v>
      </c>
      <c r="V219" s="252" t="n">
        <v>908</v>
      </c>
      <c r="W219" s="255" t="n">
        <v>6.2</v>
      </c>
      <c r="X219" s="250" t="n">
        <v>431</v>
      </c>
      <c r="Y219" s="256" t="n">
        <v>513</v>
      </c>
    </row>
    <row r="220" customFormat="false" ht="12.5" hidden="false" customHeight="true" outlineLevel="0" collapsed="false">
      <c r="A220" s="210" t="s">
        <v>1103</v>
      </c>
      <c r="B220" s="211" t="s">
        <v>1121</v>
      </c>
      <c r="C220" s="246" t="s">
        <v>1385</v>
      </c>
      <c r="D220" s="247" t="s">
        <v>1386</v>
      </c>
      <c r="E220" s="248"/>
      <c r="F220" s="248" t="n">
        <v>1698.75</v>
      </c>
      <c r="G220" s="249" t="n">
        <v>1454.88</v>
      </c>
      <c r="H220" s="249"/>
      <c r="I220" s="249" t="n">
        <v>2020.08</v>
      </c>
      <c r="J220" s="250" t="n">
        <v>565.2</v>
      </c>
      <c r="K220" s="249"/>
      <c r="L220" s="249"/>
      <c r="M220" s="249" t="n">
        <v>150.46</v>
      </c>
      <c r="N220" s="251" t="n">
        <v>170.87</v>
      </c>
      <c r="O220" s="252" t="n">
        <v>84.77</v>
      </c>
      <c r="P220" s="253" t="n">
        <v>86</v>
      </c>
      <c r="Q220" s="220"/>
      <c r="R220" s="251" t="n">
        <v>299</v>
      </c>
      <c r="S220" s="252" t="n">
        <v>22</v>
      </c>
      <c r="T220" s="254" t="n">
        <v>7</v>
      </c>
      <c r="U220" s="251" t="n">
        <v>496</v>
      </c>
      <c r="V220" s="252" t="n">
        <v>371</v>
      </c>
      <c r="W220" s="255" t="n">
        <v>7.3</v>
      </c>
      <c r="X220" s="250" t="n">
        <v>197</v>
      </c>
      <c r="Y220" s="256" t="n">
        <v>107</v>
      </c>
    </row>
    <row r="221" customFormat="false" ht="12.5" hidden="false" customHeight="true" outlineLevel="0" collapsed="false">
      <c r="A221" s="210" t="s">
        <v>1103</v>
      </c>
      <c r="B221" s="211" t="s">
        <v>1121</v>
      </c>
      <c r="C221" s="246" t="s">
        <v>1387</v>
      </c>
      <c r="D221" s="247" t="s">
        <v>1388</v>
      </c>
      <c r="E221" s="248"/>
      <c r="F221" s="248" t="n">
        <v>8956.39</v>
      </c>
      <c r="G221" s="249" t="n">
        <v>9600.19</v>
      </c>
      <c r="H221" s="249"/>
      <c r="I221" s="249" t="n">
        <v>8916.65</v>
      </c>
      <c r="J221" s="250" t="n">
        <v>-683.540000000001</v>
      </c>
      <c r="K221" s="249"/>
      <c r="L221" s="249"/>
      <c r="M221" s="249" t="n">
        <v>-613.05</v>
      </c>
      <c r="N221" s="251" t="n">
        <v>573.31</v>
      </c>
      <c r="O221" s="252" t="n">
        <v>356.52</v>
      </c>
      <c r="P221" s="253" t="n">
        <v>217</v>
      </c>
      <c r="Q221" s="220"/>
      <c r="R221" s="251" t="n">
        <v>955</v>
      </c>
      <c r="S221" s="252" t="n">
        <v>239</v>
      </c>
      <c r="T221" s="254" t="n">
        <v>7.5</v>
      </c>
      <c r="U221" s="251" t="n">
        <v>1190</v>
      </c>
      <c r="V221" s="252" t="n">
        <v>813</v>
      </c>
      <c r="W221" s="255" t="n">
        <v>6.4</v>
      </c>
      <c r="X221" s="250" t="n">
        <v>235</v>
      </c>
      <c r="Y221" s="256" t="n">
        <v>9</v>
      </c>
    </row>
    <row r="222" customFormat="false" ht="12.5" hidden="false" customHeight="true" outlineLevel="0" collapsed="false">
      <c r="A222" s="210" t="s">
        <v>1103</v>
      </c>
      <c r="B222" s="211" t="s">
        <v>1121</v>
      </c>
      <c r="C222" s="246" t="s">
        <v>1389</v>
      </c>
      <c r="D222" s="247" t="s">
        <v>1390</v>
      </c>
      <c r="E222" s="248"/>
      <c r="F222" s="248" t="n">
        <v>10791.17</v>
      </c>
      <c r="G222" s="249" t="n">
        <v>11402.97</v>
      </c>
      <c r="H222" s="249"/>
      <c r="I222" s="249" t="n">
        <v>10917.03</v>
      </c>
      <c r="J222" s="250" t="n">
        <v>-485.939999999999</v>
      </c>
      <c r="K222" s="249"/>
      <c r="L222" s="249"/>
      <c r="M222" s="249" t="n">
        <v>-33.09</v>
      </c>
      <c r="N222" s="251" t="n">
        <v>158.950000000001</v>
      </c>
      <c r="O222" s="252" t="n">
        <v>185.25</v>
      </c>
      <c r="P222" s="253" t="n">
        <v>-26</v>
      </c>
      <c r="Q222" s="220"/>
      <c r="R222" s="251" t="n">
        <v>687</v>
      </c>
      <c r="S222" s="252" t="n">
        <v>173</v>
      </c>
      <c r="T222" s="254" t="n">
        <v>6.2</v>
      </c>
      <c r="U222" s="251" t="n">
        <v>726</v>
      </c>
      <c r="V222" s="252" t="n">
        <v>562</v>
      </c>
      <c r="W222" s="255" t="n">
        <v>7</v>
      </c>
      <c r="X222" s="250" t="n">
        <v>39</v>
      </c>
      <c r="Y222" s="256" t="n">
        <v>340</v>
      </c>
    </row>
    <row r="223" customFormat="false" ht="12.5" hidden="false" customHeight="true" outlineLevel="0" collapsed="false">
      <c r="A223" s="210" t="s">
        <v>20</v>
      </c>
      <c r="B223" s="211" t="s">
        <v>1121</v>
      </c>
      <c r="C223" s="235" t="n">
        <v>107</v>
      </c>
      <c r="D223" s="236" t="s">
        <v>1391</v>
      </c>
      <c r="E223" s="237" t="n">
        <v>5</v>
      </c>
      <c r="F223" s="237" t="n">
        <v>43417.11</v>
      </c>
      <c r="G223" s="238" t="n">
        <v>44870.25</v>
      </c>
      <c r="H223" s="238" t="n">
        <v>7</v>
      </c>
      <c r="I223" s="238" t="n">
        <v>43949.22</v>
      </c>
      <c r="J223" s="239" t="n">
        <v>-928.030000000002</v>
      </c>
      <c r="K223" s="238"/>
      <c r="L223" s="238"/>
      <c r="M223" s="238" t="n">
        <v>-531.32</v>
      </c>
      <c r="N223" s="240" t="n">
        <v>1061.43</v>
      </c>
      <c r="O223" s="241" t="n">
        <v>564.22</v>
      </c>
      <c r="P223" s="242" t="n">
        <v>498</v>
      </c>
      <c r="Q223" s="220"/>
      <c r="R223" s="240" t="n">
        <v>3388</v>
      </c>
      <c r="S223" s="241" t="n">
        <v>788.8</v>
      </c>
      <c r="T223" s="243"/>
      <c r="U223" s="240" t="n">
        <v>3986.8</v>
      </c>
      <c r="V223" s="241"/>
      <c r="W223" s="244"/>
      <c r="X223" s="239" t="n">
        <v>598.8</v>
      </c>
      <c r="Y223" s="245" t="n">
        <v>447</v>
      </c>
    </row>
    <row r="224" customFormat="false" ht="12.5" hidden="false" customHeight="true" outlineLevel="0" collapsed="false">
      <c r="A224" s="210" t="s">
        <v>1103</v>
      </c>
      <c r="B224" s="211" t="s">
        <v>1121</v>
      </c>
      <c r="C224" s="246" t="s">
        <v>1392</v>
      </c>
      <c r="D224" s="247" t="s">
        <v>1383</v>
      </c>
      <c r="E224" s="248"/>
      <c r="F224" s="248" t="n">
        <v>12.42</v>
      </c>
      <c r="G224" s="249" t="n">
        <v>15</v>
      </c>
      <c r="H224" s="249"/>
      <c r="I224" s="249" t="n">
        <v>9.08</v>
      </c>
      <c r="J224" s="250" t="n">
        <v>-5.92</v>
      </c>
      <c r="K224" s="249"/>
      <c r="L224" s="249"/>
      <c r="M224" s="249" t="n">
        <v>-0.01</v>
      </c>
      <c r="N224" s="251" t="n">
        <v>-3.33</v>
      </c>
      <c r="O224" s="252" t="n">
        <v>-2.43</v>
      </c>
      <c r="P224" s="253" t="n">
        <v>-1</v>
      </c>
      <c r="Q224" s="220"/>
      <c r="R224" s="251" t="n">
        <v>4</v>
      </c>
      <c r="S224" s="252"/>
      <c r="T224" s="254" t="n">
        <v>7.3</v>
      </c>
      <c r="U224" s="251" t="n">
        <v>3</v>
      </c>
      <c r="V224" s="252"/>
      <c r="W224" s="255" t="n">
        <v>9</v>
      </c>
      <c r="X224" s="250" t="n">
        <v>-1</v>
      </c>
      <c r="Y224" s="256"/>
    </row>
    <row r="225" customFormat="false" ht="12.5" hidden="false" customHeight="true" outlineLevel="0" collapsed="false">
      <c r="A225" s="210" t="s">
        <v>1103</v>
      </c>
      <c r="B225" s="211" t="s">
        <v>1121</v>
      </c>
      <c r="C225" s="246" t="s">
        <v>1393</v>
      </c>
      <c r="D225" s="247" t="s">
        <v>1327</v>
      </c>
      <c r="E225" s="248" t="n">
        <v>3</v>
      </c>
      <c r="F225" s="248" t="n">
        <v>2510.82</v>
      </c>
      <c r="G225" s="249" t="n">
        <v>2762.5</v>
      </c>
      <c r="H225" s="249" t="n">
        <v>7</v>
      </c>
      <c r="I225" s="249" t="n">
        <v>2729.9</v>
      </c>
      <c r="J225" s="250" t="n">
        <v>-39.5999999999999</v>
      </c>
      <c r="K225" s="249"/>
      <c r="L225" s="249"/>
      <c r="M225" s="249" t="n">
        <v>161.34</v>
      </c>
      <c r="N225" s="251" t="n">
        <v>53.7399999999999</v>
      </c>
      <c r="O225" s="252" t="n">
        <v>32.62</v>
      </c>
      <c r="P225" s="253" t="n">
        <v>21</v>
      </c>
      <c r="Q225" s="220"/>
      <c r="R225" s="251" t="n">
        <v>385.7</v>
      </c>
      <c r="S225" s="252" t="n">
        <v>36.8</v>
      </c>
      <c r="T225" s="254" t="n">
        <v>6.7</v>
      </c>
      <c r="U225" s="251" t="n">
        <v>439.9</v>
      </c>
      <c r="V225" s="252"/>
      <c r="W225" s="255" t="n">
        <v>6.9</v>
      </c>
      <c r="X225" s="250" t="n">
        <v>54.2</v>
      </c>
      <c r="Y225" s="256" t="n">
        <v>33</v>
      </c>
    </row>
    <row r="226" customFormat="false" ht="12.5" hidden="false" customHeight="true" outlineLevel="0" collapsed="false">
      <c r="A226" s="210" t="s">
        <v>1103</v>
      </c>
      <c r="B226" s="211" t="s">
        <v>1121</v>
      </c>
      <c r="C226" s="246" t="s">
        <v>1394</v>
      </c>
      <c r="D226" s="247" t="s">
        <v>1386</v>
      </c>
      <c r="E226" s="248"/>
      <c r="F226" s="248" t="n">
        <v>1533.8</v>
      </c>
      <c r="G226" s="249" t="n">
        <v>1373.92</v>
      </c>
      <c r="H226" s="249"/>
      <c r="I226" s="249" t="n">
        <v>1768.5</v>
      </c>
      <c r="J226" s="250" t="n">
        <v>394.58</v>
      </c>
      <c r="K226" s="249"/>
      <c r="L226" s="249"/>
      <c r="M226" s="249" t="n">
        <v>166.92</v>
      </c>
      <c r="N226" s="251" t="n">
        <v>67.7800000000001</v>
      </c>
      <c r="O226" s="252" t="n">
        <v>18.62</v>
      </c>
      <c r="P226" s="253" t="n">
        <v>49</v>
      </c>
      <c r="Q226" s="220"/>
      <c r="R226" s="251" t="n">
        <v>280.6</v>
      </c>
      <c r="S226" s="252" t="n">
        <v>30.3</v>
      </c>
      <c r="T226" s="254" t="n">
        <v>7.4</v>
      </c>
      <c r="U226" s="251" t="n">
        <v>332.5</v>
      </c>
      <c r="V226" s="252"/>
      <c r="W226" s="255" t="n">
        <v>6.5</v>
      </c>
      <c r="X226" s="250" t="n">
        <v>51.9</v>
      </c>
      <c r="Y226" s="256" t="n">
        <v>5</v>
      </c>
    </row>
    <row r="227" customFormat="false" ht="12.5" hidden="false" customHeight="true" outlineLevel="0" collapsed="false">
      <c r="A227" s="210" t="s">
        <v>1103</v>
      </c>
      <c r="B227" s="211" t="s">
        <v>1121</v>
      </c>
      <c r="C227" s="246" t="s">
        <v>1395</v>
      </c>
      <c r="D227" s="247" t="s">
        <v>1396</v>
      </c>
      <c r="E227" s="248"/>
      <c r="F227" s="248" t="n">
        <v>28105.75</v>
      </c>
      <c r="G227" s="249" t="n">
        <v>29986.27</v>
      </c>
      <c r="H227" s="249"/>
      <c r="I227" s="249" t="n">
        <v>28135.12</v>
      </c>
      <c r="J227" s="250" t="n">
        <v>-1851.15</v>
      </c>
      <c r="K227" s="249"/>
      <c r="L227" s="249"/>
      <c r="M227" s="249" t="n">
        <v>-836.86</v>
      </c>
      <c r="N227" s="251" t="n">
        <v>866.229999999999</v>
      </c>
      <c r="O227" s="252" t="n">
        <v>556.61</v>
      </c>
      <c r="P227" s="253" t="n">
        <v>310</v>
      </c>
      <c r="Q227" s="220"/>
      <c r="R227" s="251" t="n">
        <v>1176.7</v>
      </c>
      <c r="S227" s="252" t="n">
        <v>506.3</v>
      </c>
      <c r="T227" s="254" t="n">
        <v>7</v>
      </c>
      <c r="U227" s="251" t="n">
        <v>1766.5</v>
      </c>
      <c r="V227" s="252"/>
      <c r="W227" s="255" t="n">
        <v>6.9</v>
      </c>
      <c r="X227" s="250" t="n">
        <v>589.8</v>
      </c>
      <c r="Y227" s="256" t="n">
        <v>363</v>
      </c>
    </row>
    <row r="228" customFormat="false" ht="12.5" hidden="false" customHeight="true" outlineLevel="0" collapsed="false">
      <c r="A228" s="210" t="s">
        <v>1103</v>
      </c>
      <c r="B228" s="211" t="s">
        <v>1121</v>
      </c>
      <c r="C228" s="246" t="s">
        <v>1397</v>
      </c>
      <c r="D228" s="247" t="s">
        <v>1388</v>
      </c>
      <c r="E228" s="248"/>
      <c r="F228" s="248" t="n">
        <v>4073.96</v>
      </c>
      <c r="G228" s="249" t="n">
        <v>3299.48</v>
      </c>
      <c r="H228" s="249"/>
      <c r="I228" s="249" t="n">
        <v>4174.71</v>
      </c>
      <c r="J228" s="250" t="n">
        <v>875.23</v>
      </c>
      <c r="K228" s="249"/>
      <c r="L228" s="249"/>
      <c r="M228" s="249" t="n">
        <v>-14.15</v>
      </c>
      <c r="N228" s="251" t="n">
        <v>114.9</v>
      </c>
      <c r="O228" s="252" t="n">
        <v>-46.89</v>
      </c>
      <c r="P228" s="253" t="n">
        <v>162</v>
      </c>
      <c r="Q228" s="220"/>
      <c r="R228" s="251" t="n">
        <v>941.9</v>
      </c>
      <c r="S228" s="252" t="n">
        <v>74.2</v>
      </c>
      <c r="T228" s="254" t="n">
        <v>7.6</v>
      </c>
      <c r="U228" s="251" t="n">
        <v>924.7</v>
      </c>
      <c r="V228" s="252"/>
      <c r="W228" s="255" t="n">
        <v>5.4</v>
      </c>
      <c r="X228" s="250" t="n">
        <v>-17.1999999999999</v>
      </c>
      <c r="Y228" s="256" t="n">
        <v>12</v>
      </c>
    </row>
    <row r="229" customFormat="false" ht="12.5" hidden="false" customHeight="true" outlineLevel="0" collapsed="false">
      <c r="A229" s="210" t="s">
        <v>1103</v>
      </c>
      <c r="B229" s="211" t="s">
        <v>1121</v>
      </c>
      <c r="C229" s="246" t="s">
        <v>1398</v>
      </c>
      <c r="D229" s="247" t="s">
        <v>1399</v>
      </c>
      <c r="E229" s="248" t="n">
        <v>2</v>
      </c>
      <c r="F229" s="248" t="n">
        <v>4876.08</v>
      </c>
      <c r="G229" s="249" t="n">
        <v>4874.49</v>
      </c>
      <c r="H229" s="249"/>
      <c r="I229" s="249" t="n">
        <v>4999.5</v>
      </c>
      <c r="J229" s="250" t="n">
        <v>125.01</v>
      </c>
      <c r="K229" s="249"/>
      <c r="L229" s="249"/>
      <c r="M229" s="249" t="n">
        <v>108.26</v>
      </c>
      <c r="N229" s="251" t="n">
        <v>17.1600000000001</v>
      </c>
      <c r="O229" s="252" t="n">
        <v>29.57</v>
      </c>
      <c r="P229" s="253" t="n">
        <v>-12</v>
      </c>
      <c r="Q229" s="220"/>
      <c r="R229" s="251" t="n">
        <v>412.1</v>
      </c>
      <c r="S229" s="252" t="n">
        <v>39.7</v>
      </c>
      <c r="T229" s="254" t="n">
        <v>7.2</v>
      </c>
      <c r="U229" s="251" t="n">
        <v>407.5</v>
      </c>
      <c r="V229" s="252"/>
      <c r="W229" s="255" t="n">
        <v>7.5</v>
      </c>
      <c r="X229" s="250" t="n">
        <v>-4.60000000000002</v>
      </c>
      <c r="Y229" s="256" t="n">
        <v>19</v>
      </c>
    </row>
    <row r="230" customFormat="false" ht="12.5" hidden="false" customHeight="true" outlineLevel="0" collapsed="false">
      <c r="A230" s="210" t="s">
        <v>1103</v>
      </c>
      <c r="B230" s="211" t="s">
        <v>1121</v>
      </c>
      <c r="C230" s="246" t="s">
        <v>1400</v>
      </c>
      <c r="D230" s="247" t="s">
        <v>1390</v>
      </c>
      <c r="E230" s="248"/>
      <c r="F230" s="248" t="n">
        <v>2304.28</v>
      </c>
      <c r="G230" s="249" t="n">
        <v>2558.59</v>
      </c>
      <c r="H230" s="249"/>
      <c r="I230" s="249" t="n">
        <v>2132.41</v>
      </c>
      <c r="J230" s="250" t="n">
        <v>-426.18</v>
      </c>
      <c r="K230" s="249"/>
      <c r="L230" s="249"/>
      <c r="M230" s="249" t="n">
        <v>-116.82</v>
      </c>
      <c r="N230" s="251" t="n">
        <v>-55.0500000000004</v>
      </c>
      <c r="O230" s="252" t="n">
        <v>-23.88</v>
      </c>
      <c r="P230" s="253" t="n">
        <v>-31</v>
      </c>
      <c r="Q230" s="220"/>
      <c r="R230" s="251" t="n">
        <v>187</v>
      </c>
      <c r="S230" s="252" t="n">
        <v>101.5</v>
      </c>
      <c r="T230" s="254" t="n">
        <v>6.6</v>
      </c>
      <c r="U230" s="251" t="n">
        <v>112.7</v>
      </c>
      <c r="V230" s="252"/>
      <c r="W230" s="255" t="n">
        <v>5.7</v>
      </c>
      <c r="X230" s="250" t="n">
        <v>-74.3</v>
      </c>
      <c r="Y230" s="256" t="n">
        <v>15</v>
      </c>
    </row>
    <row r="231" customFormat="false" ht="12.5" hidden="false" customHeight="true" outlineLevel="0" collapsed="false">
      <c r="A231" s="210" t="s">
        <v>20</v>
      </c>
      <c r="B231" s="211" t="s">
        <v>1121</v>
      </c>
      <c r="C231" s="235" t="n">
        <v>182</v>
      </c>
      <c r="D231" s="236" t="s">
        <v>1401</v>
      </c>
      <c r="E231" s="237" t="n">
        <v>23</v>
      </c>
      <c r="F231" s="237" t="n">
        <v>9187.51</v>
      </c>
      <c r="G231" s="238" t="n">
        <v>9514.81</v>
      </c>
      <c r="H231" s="238" t="n">
        <v>20.83</v>
      </c>
      <c r="I231" s="238" t="n">
        <v>9179.22</v>
      </c>
      <c r="J231" s="239" t="n">
        <v>-356.42</v>
      </c>
      <c r="K231" s="238"/>
      <c r="L231" s="238"/>
      <c r="M231" s="238" t="n">
        <v>-17.95</v>
      </c>
      <c r="N231" s="240" t="n">
        <v>11.8299999999997</v>
      </c>
      <c r="O231" s="241" t="n">
        <v>-130.26</v>
      </c>
      <c r="P231" s="242" t="n">
        <v>142</v>
      </c>
      <c r="Q231" s="220"/>
      <c r="R231" s="240" t="n">
        <v>2033</v>
      </c>
      <c r="S231" s="241" t="n">
        <v>105</v>
      </c>
      <c r="T231" s="243"/>
      <c r="U231" s="240" t="n">
        <v>2120</v>
      </c>
      <c r="V231" s="241" t="n">
        <v>329</v>
      </c>
      <c r="W231" s="244"/>
      <c r="X231" s="239" t="n">
        <v>87</v>
      </c>
      <c r="Y231" s="245" t="n">
        <v>92</v>
      </c>
    </row>
    <row r="232" customFormat="false" ht="12.5" hidden="false" customHeight="true" outlineLevel="0" collapsed="false">
      <c r="A232" s="210" t="s">
        <v>1103</v>
      </c>
      <c r="B232" s="211" t="s">
        <v>1121</v>
      </c>
      <c r="C232" s="246" t="s">
        <v>1402</v>
      </c>
      <c r="D232" s="247" t="s">
        <v>1383</v>
      </c>
      <c r="E232" s="248"/>
      <c r="F232" s="248" t="n">
        <v>11.37</v>
      </c>
      <c r="G232" s="249" t="n">
        <v>6</v>
      </c>
      <c r="H232" s="249"/>
      <c r="I232" s="249" t="n">
        <v>9.97</v>
      </c>
      <c r="J232" s="250" t="n">
        <v>3.97</v>
      </c>
      <c r="K232" s="249"/>
      <c r="L232" s="249"/>
      <c r="M232" s="249" t="n">
        <v>1.29</v>
      </c>
      <c r="N232" s="251" t="n">
        <v>-2.69</v>
      </c>
      <c r="O232" s="252" t="n">
        <v>-2.69</v>
      </c>
      <c r="P232" s="253"/>
      <c r="Q232" s="220"/>
      <c r="R232" s="251"/>
      <c r="S232" s="252"/>
      <c r="T232" s="254" t="n">
        <v>9</v>
      </c>
      <c r="U232" s="251"/>
      <c r="V232" s="252"/>
      <c r="W232" s="255" t="n">
        <v>7.5</v>
      </c>
      <c r="X232" s="250"/>
      <c r="Y232" s="256"/>
    </row>
    <row r="233" customFormat="false" ht="12.5" hidden="false" customHeight="true" outlineLevel="0" collapsed="false">
      <c r="A233" s="210" t="s">
        <v>1103</v>
      </c>
      <c r="B233" s="211" t="s">
        <v>1121</v>
      </c>
      <c r="C233" s="246" t="s">
        <v>1403</v>
      </c>
      <c r="D233" s="247" t="s">
        <v>1327</v>
      </c>
      <c r="E233" s="248" t="n">
        <v>12</v>
      </c>
      <c r="F233" s="248" t="n">
        <v>2339.04</v>
      </c>
      <c r="G233" s="249" t="n">
        <v>2524.05</v>
      </c>
      <c r="H233" s="249" t="n">
        <v>18.83</v>
      </c>
      <c r="I233" s="249" t="n">
        <v>2394.18</v>
      </c>
      <c r="J233" s="250" t="n">
        <v>-148.7</v>
      </c>
      <c r="K233" s="249"/>
      <c r="L233" s="249"/>
      <c r="M233" s="249" t="n">
        <v>63.1</v>
      </c>
      <c r="N233" s="251" t="n">
        <v>-14.7900000000001</v>
      </c>
      <c r="O233" s="252" t="n">
        <v>-17.05</v>
      </c>
      <c r="P233" s="253" t="n">
        <v>2</v>
      </c>
      <c r="Q233" s="220"/>
      <c r="R233" s="251" t="n">
        <v>351</v>
      </c>
      <c r="S233" s="252" t="n">
        <v>36.3</v>
      </c>
      <c r="T233" s="254" t="n">
        <v>5.9</v>
      </c>
      <c r="U233" s="251" t="n">
        <v>376</v>
      </c>
      <c r="V233" s="252" t="n">
        <v>116</v>
      </c>
      <c r="W233" s="255" t="n">
        <v>6.3</v>
      </c>
      <c r="X233" s="250" t="n">
        <v>25</v>
      </c>
      <c r="Y233" s="256" t="n">
        <v>35</v>
      </c>
    </row>
    <row r="234" customFormat="false" ht="12.5" hidden="false" customHeight="true" outlineLevel="0" collapsed="false">
      <c r="A234" s="210" t="s">
        <v>1103</v>
      </c>
      <c r="B234" s="211" t="s">
        <v>1121</v>
      </c>
      <c r="C234" s="246" t="s">
        <v>1404</v>
      </c>
      <c r="D234" s="247" t="s">
        <v>1386</v>
      </c>
      <c r="E234" s="248"/>
      <c r="F234" s="248" t="n">
        <v>423.51</v>
      </c>
      <c r="G234" s="249" t="n">
        <v>369</v>
      </c>
      <c r="H234" s="249"/>
      <c r="I234" s="249" t="n">
        <v>441.25</v>
      </c>
      <c r="J234" s="250" t="n">
        <v>72.25</v>
      </c>
      <c r="K234" s="249"/>
      <c r="L234" s="249"/>
      <c r="M234" s="249" t="n">
        <v>54.4</v>
      </c>
      <c r="N234" s="251" t="n">
        <v>-36.66</v>
      </c>
      <c r="O234" s="252" t="n">
        <v>-21.01</v>
      </c>
      <c r="P234" s="253" t="n">
        <v>-16</v>
      </c>
      <c r="Q234" s="220"/>
      <c r="R234" s="251" t="n">
        <v>125</v>
      </c>
      <c r="S234" s="252" t="n">
        <v>4.3</v>
      </c>
      <c r="T234" s="254" t="n">
        <v>6.4</v>
      </c>
      <c r="U234" s="251" t="n">
        <v>108</v>
      </c>
      <c r="V234" s="252" t="n">
        <v>9</v>
      </c>
      <c r="W234" s="255" t="n">
        <v>7.1</v>
      </c>
      <c r="X234" s="250" t="n">
        <v>-17</v>
      </c>
      <c r="Y234" s="256"/>
    </row>
    <row r="235" customFormat="false" ht="12.5" hidden="false" customHeight="true" outlineLevel="0" collapsed="false">
      <c r="A235" s="210" t="s">
        <v>1103</v>
      </c>
      <c r="B235" s="211" t="s">
        <v>1121</v>
      </c>
      <c r="C235" s="246" t="s">
        <v>1405</v>
      </c>
      <c r="D235" s="247" t="s">
        <v>1388</v>
      </c>
      <c r="E235" s="248"/>
      <c r="F235" s="248" t="n">
        <v>1166.45</v>
      </c>
      <c r="G235" s="249" t="n">
        <v>1066</v>
      </c>
      <c r="H235" s="249"/>
      <c r="I235" s="249" t="n">
        <v>1114.73</v>
      </c>
      <c r="J235" s="250" t="n">
        <v>48.73</v>
      </c>
      <c r="K235" s="249"/>
      <c r="L235" s="249"/>
      <c r="M235" s="249" t="n">
        <v>-49.55</v>
      </c>
      <c r="N235" s="251" t="n">
        <v>-2.17000000000003</v>
      </c>
      <c r="O235" s="252" t="n">
        <v>-1.13</v>
      </c>
      <c r="P235" s="253" t="n">
        <v>-1</v>
      </c>
      <c r="Q235" s="220"/>
      <c r="R235" s="251" t="n">
        <v>302</v>
      </c>
      <c r="S235" s="252" t="n">
        <v>16.5</v>
      </c>
      <c r="T235" s="254" t="n">
        <v>7</v>
      </c>
      <c r="U235" s="251" t="n">
        <v>305</v>
      </c>
      <c r="V235" s="252" t="n">
        <v>21</v>
      </c>
      <c r="W235" s="255" t="n">
        <v>7.1</v>
      </c>
      <c r="X235" s="250" t="n">
        <v>3</v>
      </c>
      <c r="Y235" s="256"/>
    </row>
    <row r="236" customFormat="false" ht="12.5" hidden="false" customHeight="true" outlineLevel="0" collapsed="false">
      <c r="A236" s="210" t="s">
        <v>1103</v>
      </c>
      <c r="B236" s="211" t="s">
        <v>1121</v>
      </c>
      <c r="C236" s="246" t="s">
        <v>1406</v>
      </c>
      <c r="D236" s="247" t="s">
        <v>1399</v>
      </c>
      <c r="E236" s="248" t="n">
        <v>11</v>
      </c>
      <c r="F236" s="248" t="n">
        <v>5247.14</v>
      </c>
      <c r="G236" s="249" t="n">
        <v>5549.76</v>
      </c>
      <c r="H236" s="249" t="n">
        <v>2</v>
      </c>
      <c r="I236" s="249" t="n">
        <v>5219.09</v>
      </c>
      <c r="J236" s="250" t="n">
        <v>-332.67</v>
      </c>
      <c r="K236" s="249"/>
      <c r="L236" s="249"/>
      <c r="M236" s="249" t="n">
        <v>-87.19</v>
      </c>
      <c r="N236" s="251" t="n">
        <v>68.1399999999998</v>
      </c>
      <c r="O236" s="252" t="n">
        <v>-88.38</v>
      </c>
      <c r="P236" s="253" t="n">
        <v>157</v>
      </c>
      <c r="Q236" s="220"/>
      <c r="R236" s="251" t="n">
        <v>1255</v>
      </c>
      <c r="S236" s="252" t="n">
        <v>47.9</v>
      </c>
      <c r="T236" s="254" t="n">
        <v>6.5</v>
      </c>
      <c r="U236" s="251" t="n">
        <v>1331</v>
      </c>
      <c r="V236" s="252" t="n">
        <v>183</v>
      </c>
      <c r="W236" s="255" t="n">
        <v>5.46</v>
      </c>
      <c r="X236" s="250" t="n">
        <v>76</v>
      </c>
      <c r="Y236" s="256" t="n">
        <v>57</v>
      </c>
    </row>
    <row r="237" customFormat="false" ht="12.5" hidden="false" customHeight="true" outlineLevel="0" collapsed="false">
      <c r="A237" s="210" t="s">
        <v>20</v>
      </c>
      <c r="B237" s="211" t="s">
        <v>1121</v>
      </c>
      <c r="C237" s="235" t="n">
        <v>310</v>
      </c>
      <c r="D237" s="236" t="s">
        <v>1407</v>
      </c>
      <c r="E237" s="237" t="n">
        <v>1</v>
      </c>
      <c r="F237" s="237" t="n">
        <v>2573</v>
      </c>
      <c r="G237" s="238" t="n">
        <v>2766.46</v>
      </c>
      <c r="H237" s="238" t="n">
        <v>-3.67</v>
      </c>
      <c r="I237" s="238" t="n">
        <v>2668.09</v>
      </c>
      <c r="J237" s="239" t="n">
        <v>-94.6999999999998</v>
      </c>
      <c r="K237" s="238"/>
      <c r="L237" s="238" t="n">
        <v>0.300000000000001</v>
      </c>
      <c r="M237" s="238" t="n">
        <v>-9.93</v>
      </c>
      <c r="N237" s="240" t="n">
        <v>109.39</v>
      </c>
      <c r="O237" s="241" t="n">
        <v>107.96</v>
      </c>
      <c r="P237" s="242" t="n">
        <v>1</v>
      </c>
      <c r="Q237" s="220"/>
      <c r="R237" s="240" t="n">
        <v>510</v>
      </c>
      <c r="S237" s="241" t="n">
        <v>34</v>
      </c>
      <c r="T237" s="243"/>
      <c r="U237" s="240" t="n">
        <v>620</v>
      </c>
      <c r="V237" s="241" t="n">
        <v>34.8</v>
      </c>
      <c r="W237" s="244"/>
      <c r="X237" s="239" t="n">
        <v>110</v>
      </c>
      <c r="Y237" s="245" t="n">
        <v>112</v>
      </c>
    </row>
    <row r="238" customFormat="false" ht="12.5" hidden="false" customHeight="true" outlineLevel="0" collapsed="false">
      <c r="A238" s="210" t="s">
        <v>1103</v>
      </c>
      <c r="B238" s="211" t="s">
        <v>1121</v>
      </c>
      <c r="C238" s="246" t="s">
        <v>1408</v>
      </c>
      <c r="D238" s="247" t="s">
        <v>1383</v>
      </c>
      <c r="E238" s="248"/>
      <c r="F238" s="248" t="n">
        <v>218</v>
      </c>
      <c r="G238" s="249" t="n">
        <v>234</v>
      </c>
      <c r="H238" s="249"/>
      <c r="I238" s="249" t="n">
        <v>221.9</v>
      </c>
      <c r="J238" s="250" t="n">
        <v>-12.1</v>
      </c>
      <c r="K238" s="249"/>
      <c r="L238" s="249" t="n">
        <v>10</v>
      </c>
      <c r="M238" s="249" t="n">
        <v>-8.07</v>
      </c>
      <c r="N238" s="251" t="n">
        <v>1.97000000000001</v>
      </c>
      <c r="O238" s="252" t="n">
        <v>6.05</v>
      </c>
      <c r="P238" s="253" t="n">
        <v>-4</v>
      </c>
      <c r="Q238" s="220"/>
      <c r="R238" s="251" t="n">
        <v>50</v>
      </c>
      <c r="S238" s="252" t="n">
        <v>3</v>
      </c>
      <c r="T238" s="254" t="n">
        <v>5.9</v>
      </c>
      <c r="U238" s="251" t="n">
        <v>60</v>
      </c>
      <c r="V238" s="252"/>
      <c r="W238" s="255" t="n">
        <v>7.9</v>
      </c>
      <c r="X238" s="250" t="n">
        <v>10</v>
      </c>
      <c r="Y238" s="256"/>
    </row>
    <row r="239" customFormat="false" ht="12.5" hidden="false" customHeight="true" outlineLevel="0" collapsed="false">
      <c r="A239" s="210" t="s">
        <v>1103</v>
      </c>
      <c r="B239" s="211" t="s">
        <v>1121</v>
      </c>
      <c r="C239" s="246" t="s">
        <v>1409</v>
      </c>
      <c r="D239" s="247" t="s">
        <v>1327</v>
      </c>
      <c r="E239" s="248" t="n">
        <v>1</v>
      </c>
      <c r="F239" s="248" t="n">
        <v>1386</v>
      </c>
      <c r="G239" s="249" t="n">
        <v>1501.48</v>
      </c>
      <c r="H239" s="249" t="n">
        <v>-0.17</v>
      </c>
      <c r="I239" s="249" t="n">
        <v>1503.63</v>
      </c>
      <c r="J239" s="250" t="n">
        <v>2.32000000000016</v>
      </c>
      <c r="K239" s="249"/>
      <c r="L239" s="249" t="n">
        <v>-0.9</v>
      </c>
      <c r="M239" s="249" t="n">
        <v>23.26</v>
      </c>
      <c r="N239" s="251" t="n">
        <v>96.4400000000002</v>
      </c>
      <c r="O239" s="252" t="n">
        <v>90.01</v>
      </c>
      <c r="P239" s="253" t="n">
        <v>6</v>
      </c>
      <c r="Q239" s="220"/>
      <c r="R239" s="251" t="n">
        <v>269</v>
      </c>
      <c r="S239" s="252" t="n">
        <v>10</v>
      </c>
      <c r="T239" s="254" t="n">
        <v>6</v>
      </c>
      <c r="U239" s="251" t="n">
        <v>363</v>
      </c>
      <c r="V239" s="252" t="n">
        <v>21</v>
      </c>
      <c r="W239" s="255" t="n">
        <v>7.6</v>
      </c>
      <c r="X239" s="250" t="n">
        <v>94</v>
      </c>
      <c r="Y239" s="256" t="n">
        <v>112</v>
      </c>
    </row>
    <row r="240" customFormat="false" ht="12.5" hidden="false" customHeight="true" outlineLevel="0" collapsed="false">
      <c r="A240" s="210" t="s">
        <v>1103</v>
      </c>
      <c r="B240" s="211" t="s">
        <v>1121</v>
      </c>
      <c r="C240" s="246" t="s">
        <v>1410</v>
      </c>
      <c r="D240" s="247" t="s">
        <v>1386</v>
      </c>
      <c r="E240" s="248"/>
      <c r="F240" s="248" t="n">
        <v>456</v>
      </c>
      <c r="G240" s="249" t="n">
        <v>403.3</v>
      </c>
      <c r="H240" s="249" t="n">
        <v>-1</v>
      </c>
      <c r="I240" s="249" t="n">
        <v>477.6</v>
      </c>
      <c r="J240" s="250" t="n">
        <v>75.3</v>
      </c>
      <c r="K240" s="249"/>
      <c r="L240" s="249" t="n">
        <v>-3</v>
      </c>
      <c r="M240" s="249" t="n">
        <v>16.49</v>
      </c>
      <c r="N240" s="251" t="n">
        <v>9.11000000000002</v>
      </c>
      <c r="O240" s="252" t="n">
        <v>9.04</v>
      </c>
      <c r="P240" s="253"/>
      <c r="Q240" s="220"/>
      <c r="R240" s="251" t="n">
        <v>91.8</v>
      </c>
      <c r="S240" s="252" t="n">
        <v>8</v>
      </c>
      <c r="T240" s="254" t="n">
        <v>6.8</v>
      </c>
      <c r="U240" s="251" t="n">
        <v>100</v>
      </c>
      <c r="V240" s="252" t="n">
        <v>9.8</v>
      </c>
      <c r="W240" s="255" t="n">
        <v>7.3</v>
      </c>
      <c r="X240" s="250" t="n">
        <v>8.2</v>
      </c>
      <c r="Y240" s="256"/>
    </row>
    <row r="241" customFormat="false" ht="12.5" hidden="false" customHeight="true" outlineLevel="0" collapsed="false">
      <c r="A241" s="210" t="s">
        <v>1103</v>
      </c>
      <c r="B241" s="211" t="s">
        <v>1121</v>
      </c>
      <c r="C241" s="246" t="s">
        <v>1411</v>
      </c>
      <c r="D241" s="247" t="s">
        <v>1388</v>
      </c>
      <c r="E241" s="248"/>
      <c r="F241" s="248" t="n">
        <v>395</v>
      </c>
      <c r="G241" s="249" t="n">
        <v>510.68</v>
      </c>
      <c r="H241" s="249" t="n">
        <v>-2.5</v>
      </c>
      <c r="I241" s="249" t="n">
        <v>339.27</v>
      </c>
      <c r="J241" s="250" t="n">
        <v>-168.91</v>
      </c>
      <c r="K241" s="249"/>
      <c r="L241" s="249" t="n">
        <v>-5.8</v>
      </c>
      <c r="M241" s="249" t="n">
        <v>-43.09</v>
      </c>
      <c r="N241" s="251" t="n">
        <v>-4.34000000000002</v>
      </c>
      <c r="O241" s="252" t="n">
        <v>-3.31</v>
      </c>
      <c r="P241" s="253" t="n">
        <v>-1</v>
      </c>
      <c r="Q241" s="220"/>
      <c r="R241" s="251" t="n">
        <v>81</v>
      </c>
      <c r="S241" s="252" t="n">
        <v>8</v>
      </c>
      <c r="T241" s="254" t="n">
        <v>6.8</v>
      </c>
      <c r="U241" s="251" t="n">
        <v>79</v>
      </c>
      <c r="V241" s="252" t="n">
        <v>4</v>
      </c>
      <c r="W241" s="255" t="n">
        <v>6.8</v>
      </c>
      <c r="X241" s="250" t="n">
        <v>-2</v>
      </c>
      <c r="Y241" s="256"/>
    </row>
    <row r="242" customFormat="false" ht="12.5" hidden="false" customHeight="true" outlineLevel="0" collapsed="false">
      <c r="A242" s="210" t="s">
        <v>1103</v>
      </c>
      <c r="B242" s="211" t="s">
        <v>1121</v>
      </c>
      <c r="C242" s="246" t="s">
        <v>1412</v>
      </c>
      <c r="D242" s="247" t="s">
        <v>1399</v>
      </c>
      <c r="E242" s="248"/>
      <c r="F242" s="248" t="n">
        <v>84</v>
      </c>
      <c r="G242" s="249" t="n">
        <v>87</v>
      </c>
      <c r="H242" s="249"/>
      <c r="I242" s="249" t="n">
        <v>88.7</v>
      </c>
      <c r="J242" s="250" t="n">
        <v>1.7</v>
      </c>
      <c r="K242" s="249"/>
      <c r="L242" s="249"/>
      <c r="M242" s="249" t="n">
        <v>0.55</v>
      </c>
      <c r="N242" s="251" t="n">
        <v>4.15</v>
      </c>
      <c r="O242" s="252" t="n">
        <v>5.35</v>
      </c>
      <c r="P242" s="253" t="n">
        <v>-1</v>
      </c>
      <c r="Q242" s="220"/>
      <c r="R242" s="251" t="n">
        <v>12</v>
      </c>
      <c r="S242" s="252" t="n">
        <v>3</v>
      </c>
      <c r="T242" s="254" t="n">
        <v>7.8</v>
      </c>
      <c r="U242" s="251" t="n">
        <v>10</v>
      </c>
      <c r="V242" s="252"/>
      <c r="W242" s="255" t="n">
        <v>8.2</v>
      </c>
      <c r="X242" s="250" t="n">
        <v>-2</v>
      </c>
      <c r="Y242" s="256"/>
    </row>
    <row r="243" customFormat="false" ht="12.5" hidden="false" customHeight="true" outlineLevel="0" collapsed="false">
      <c r="A243" s="210" t="s">
        <v>1103</v>
      </c>
      <c r="B243" s="211" t="s">
        <v>1121</v>
      </c>
      <c r="C243" s="246" t="s">
        <v>1413</v>
      </c>
      <c r="D243" s="247" t="s">
        <v>1390</v>
      </c>
      <c r="E243" s="248"/>
      <c r="F243" s="248" t="n">
        <v>34</v>
      </c>
      <c r="G243" s="249" t="n">
        <v>30</v>
      </c>
      <c r="H243" s="249"/>
      <c r="I243" s="249" t="n">
        <v>36.99</v>
      </c>
      <c r="J243" s="250" t="n">
        <v>6.99</v>
      </c>
      <c r="K243" s="249"/>
      <c r="L243" s="249"/>
      <c r="M243" s="249" t="n">
        <v>0.93</v>
      </c>
      <c r="N243" s="251" t="n">
        <v>2.06</v>
      </c>
      <c r="O243" s="252" t="n">
        <v>0.82</v>
      </c>
      <c r="P243" s="253" t="n">
        <v>1</v>
      </c>
      <c r="Q243" s="220"/>
      <c r="R243" s="251" t="n">
        <v>6.2</v>
      </c>
      <c r="S243" s="252" t="n">
        <v>2</v>
      </c>
      <c r="T243" s="254" t="n">
        <v>6.5</v>
      </c>
      <c r="U243" s="251" t="n">
        <v>8</v>
      </c>
      <c r="V243" s="252"/>
      <c r="W243" s="255" t="n">
        <v>6.1</v>
      </c>
      <c r="X243" s="250" t="n">
        <v>1.8</v>
      </c>
      <c r="Y243" s="256"/>
    </row>
    <row r="244" customFormat="false" ht="12.5" hidden="false" customHeight="true" outlineLevel="0" collapsed="false">
      <c r="A244" s="210" t="s">
        <v>20</v>
      </c>
      <c r="B244" s="211" t="s">
        <v>1121</v>
      </c>
      <c r="C244" s="235" t="n">
        <v>335</v>
      </c>
      <c r="D244" s="236" t="s">
        <v>1414</v>
      </c>
      <c r="E244" s="237"/>
      <c r="F244" s="237" t="n">
        <v>20.65</v>
      </c>
      <c r="G244" s="238" t="n">
        <v>24</v>
      </c>
      <c r="H244" s="238"/>
      <c r="I244" s="238" t="n">
        <v>22.51</v>
      </c>
      <c r="J244" s="239" t="n">
        <v>-1.49</v>
      </c>
      <c r="K244" s="238"/>
      <c r="L244" s="238"/>
      <c r="M244" s="238" t="n">
        <v>0.2</v>
      </c>
      <c r="N244" s="240" t="n">
        <v>1.66</v>
      </c>
      <c r="O244" s="241" t="n">
        <v>0.75</v>
      </c>
      <c r="P244" s="242" t="n">
        <v>1</v>
      </c>
      <c r="Q244" s="220"/>
      <c r="R244" s="240" t="n">
        <v>4</v>
      </c>
      <c r="S244" s="241"/>
      <c r="T244" s="243"/>
      <c r="U244" s="240" t="n">
        <v>6</v>
      </c>
      <c r="V244" s="241"/>
      <c r="W244" s="244"/>
      <c r="X244" s="239" t="n">
        <v>2</v>
      </c>
      <c r="Y244" s="245"/>
    </row>
    <row r="245" customFormat="false" ht="12.5" hidden="false" customHeight="true" outlineLevel="0" collapsed="false">
      <c r="A245" s="210" t="s">
        <v>1103</v>
      </c>
      <c r="B245" s="211" t="s">
        <v>1121</v>
      </c>
      <c r="C245" s="246" t="s">
        <v>1415</v>
      </c>
      <c r="D245" s="247" t="s">
        <v>1383</v>
      </c>
      <c r="E245" s="248"/>
      <c r="F245" s="248" t="n">
        <v>3.88</v>
      </c>
      <c r="G245" s="249" t="n">
        <v>5</v>
      </c>
      <c r="H245" s="249"/>
      <c r="I245" s="249" t="n">
        <v>4.63</v>
      </c>
      <c r="J245" s="250" t="n">
        <v>-0.37</v>
      </c>
      <c r="K245" s="249"/>
      <c r="L245" s="249"/>
      <c r="M245" s="249"/>
      <c r="N245" s="251" t="n">
        <v>0.75</v>
      </c>
      <c r="O245" s="252" t="n">
        <v>-0.08</v>
      </c>
      <c r="P245" s="253" t="n">
        <v>1</v>
      </c>
      <c r="Q245" s="220"/>
      <c r="R245" s="251" t="n">
        <v>1</v>
      </c>
      <c r="S245" s="252"/>
      <c r="T245" s="254" t="n">
        <v>7</v>
      </c>
      <c r="U245" s="251" t="n">
        <v>2</v>
      </c>
      <c r="V245" s="252"/>
      <c r="W245" s="255" t="n">
        <v>5</v>
      </c>
      <c r="X245" s="250" t="n">
        <v>1</v>
      </c>
      <c r="Y245" s="256"/>
    </row>
    <row r="246" customFormat="false" ht="12.5" hidden="false" customHeight="true" outlineLevel="0" collapsed="false">
      <c r="A246" s="210" t="s">
        <v>1103</v>
      </c>
      <c r="B246" s="211" t="s">
        <v>1121</v>
      </c>
      <c r="C246" s="246" t="s">
        <v>1416</v>
      </c>
      <c r="D246" s="247" t="s">
        <v>1327</v>
      </c>
      <c r="E246" s="248"/>
      <c r="F246" s="248" t="n">
        <v>1.75</v>
      </c>
      <c r="G246" s="249" t="n">
        <v>2</v>
      </c>
      <c r="H246" s="249"/>
      <c r="I246" s="249" t="n">
        <v>2.33</v>
      </c>
      <c r="J246" s="250" t="n">
        <v>0.33</v>
      </c>
      <c r="K246" s="249"/>
      <c r="L246" s="249"/>
      <c r="M246" s="249"/>
      <c r="N246" s="251" t="n">
        <v>0.58</v>
      </c>
      <c r="O246" s="252" t="n">
        <v>0.25</v>
      </c>
      <c r="P246" s="253"/>
      <c r="Q246" s="220"/>
      <c r="R246" s="251"/>
      <c r="S246" s="252"/>
      <c r="T246" s="254" t="n">
        <v>0</v>
      </c>
      <c r="U246" s="251" t="n">
        <v>1</v>
      </c>
      <c r="V246" s="252"/>
      <c r="W246" s="255" t="n">
        <v>9</v>
      </c>
      <c r="X246" s="250" t="n">
        <v>1</v>
      </c>
      <c r="Y246" s="256"/>
    </row>
    <row r="247" customFormat="false" ht="12.5" hidden="false" customHeight="true" outlineLevel="0" collapsed="false">
      <c r="A247" s="210" t="s">
        <v>1103</v>
      </c>
      <c r="B247" s="211" t="s">
        <v>1121</v>
      </c>
      <c r="C247" s="246" t="s">
        <v>1417</v>
      </c>
      <c r="D247" s="247" t="s">
        <v>1386</v>
      </c>
      <c r="E247" s="248"/>
      <c r="F247" s="248" t="n">
        <v>4.22</v>
      </c>
      <c r="G247" s="249" t="n">
        <v>5</v>
      </c>
      <c r="H247" s="249"/>
      <c r="I247" s="249" t="n">
        <v>4</v>
      </c>
      <c r="J247" s="250" t="n">
        <v>-1</v>
      </c>
      <c r="K247" s="249"/>
      <c r="L247" s="249"/>
      <c r="M247" s="249" t="n">
        <v>0.03</v>
      </c>
      <c r="N247" s="251" t="n">
        <v>-0.25</v>
      </c>
      <c r="O247" s="252" t="n">
        <v>0.58</v>
      </c>
      <c r="P247" s="253" t="n">
        <v>-1</v>
      </c>
      <c r="Q247" s="220"/>
      <c r="R247" s="251" t="n">
        <v>2</v>
      </c>
      <c r="S247" s="252"/>
      <c r="T247" s="254" t="n">
        <v>6</v>
      </c>
      <c r="U247" s="251" t="n">
        <v>1</v>
      </c>
      <c r="V247" s="252"/>
      <c r="W247" s="255" t="n">
        <v>9</v>
      </c>
      <c r="X247" s="250" t="n">
        <v>-1</v>
      </c>
      <c r="Y247" s="256"/>
    </row>
    <row r="248" customFormat="false" ht="12.5" hidden="false" customHeight="true" outlineLevel="0" collapsed="false">
      <c r="A248" s="210" t="s">
        <v>1103</v>
      </c>
      <c r="B248" s="211" t="s">
        <v>1121</v>
      </c>
      <c r="C248" s="246" t="s">
        <v>1418</v>
      </c>
      <c r="D248" s="247" t="s">
        <v>1388</v>
      </c>
      <c r="E248" s="248"/>
      <c r="F248" s="248" t="n">
        <v>6.8</v>
      </c>
      <c r="G248" s="249" t="n">
        <v>7</v>
      </c>
      <c r="H248" s="249"/>
      <c r="I248" s="249" t="n">
        <v>6.8</v>
      </c>
      <c r="J248" s="250" t="n">
        <v>-0.2</v>
      </c>
      <c r="K248" s="249"/>
      <c r="L248" s="249"/>
      <c r="M248" s="249"/>
      <c r="N248" s="251"/>
      <c r="O248" s="252"/>
      <c r="P248" s="253"/>
      <c r="Q248" s="220"/>
      <c r="R248" s="251"/>
      <c r="S248" s="252"/>
      <c r="T248" s="254" t="n">
        <v>0</v>
      </c>
      <c r="U248" s="251"/>
      <c r="V248" s="252"/>
      <c r="W248" s="255" t="n">
        <v>0</v>
      </c>
      <c r="X248" s="250"/>
      <c r="Y248" s="256"/>
    </row>
    <row r="249" customFormat="false" ht="12.5" hidden="false" customHeight="true" outlineLevel="0" collapsed="false">
      <c r="A249" s="210" t="s">
        <v>1103</v>
      </c>
      <c r="B249" s="211" t="s">
        <v>1121</v>
      </c>
      <c r="C249" s="246" t="s">
        <v>1419</v>
      </c>
      <c r="D249" s="247" t="s">
        <v>1390</v>
      </c>
      <c r="E249" s="248"/>
      <c r="F249" s="248" t="n">
        <v>4</v>
      </c>
      <c r="G249" s="249" t="n">
        <v>5</v>
      </c>
      <c r="H249" s="249"/>
      <c r="I249" s="249" t="n">
        <v>4.75</v>
      </c>
      <c r="J249" s="250" t="n">
        <v>-0.25</v>
      </c>
      <c r="K249" s="249"/>
      <c r="L249" s="249"/>
      <c r="M249" s="249" t="n">
        <v>0.17</v>
      </c>
      <c r="N249" s="251" t="n">
        <v>0.58</v>
      </c>
      <c r="O249" s="252"/>
      <c r="P249" s="253" t="n">
        <v>1</v>
      </c>
      <c r="Q249" s="220"/>
      <c r="R249" s="251" t="n">
        <v>1</v>
      </c>
      <c r="S249" s="252"/>
      <c r="T249" s="254" t="n">
        <v>1</v>
      </c>
      <c r="U249" s="251" t="n">
        <v>2</v>
      </c>
      <c r="V249" s="252"/>
      <c r="W249" s="255" t="n">
        <v>3.5</v>
      </c>
      <c r="X249" s="250" t="n">
        <v>1</v>
      </c>
      <c r="Y249" s="256"/>
    </row>
    <row r="250" customFormat="false" ht="12.5" hidden="false" customHeight="true" outlineLevel="0" collapsed="false">
      <c r="A250" s="210" t="s">
        <v>18</v>
      </c>
      <c r="B250" s="211" t="s">
        <v>1121</v>
      </c>
      <c r="C250" s="224" t="s">
        <v>1420</v>
      </c>
      <c r="D250" s="225" t="s">
        <v>1421</v>
      </c>
      <c r="E250" s="226"/>
      <c r="F250" s="226" t="n">
        <v>5457.5</v>
      </c>
      <c r="G250" s="227" t="n">
        <v>6167.5</v>
      </c>
      <c r="H250" s="227"/>
      <c r="I250" s="227" t="n">
        <v>5782.92</v>
      </c>
      <c r="J250" s="228" t="n">
        <v>-384.58</v>
      </c>
      <c r="K250" s="227"/>
      <c r="L250" s="227"/>
      <c r="M250" s="227" t="n">
        <v>284.87</v>
      </c>
      <c r="N250" s="229" t="n">
        <v>40.5500000000001</v>
      </c>
      <c r="O250" s="230" t="n">
        <v>-0.93</v>
      </c>
      <c r="P250" s="231" t="n">
        <v>41</v>
      </c>
      <c r="Q250" s="220"/>
      <c r="R250" s="229" t="n">
        <v>1080</v>
      </c>
      <c r="S250" s="230" t="n">
        <v>1</v>
      </c>
      <c r="T250" s="232"/>
      <c r="U250" s="229" t="n">
        <v>1100</v>
      </c>
      <c r="V250" s="230"/>
      <c r="W250" s="233"/>
      <c r="X250" s="228" t="n">
        <v>20</v>
      </c>
      <c r="Y250" s="234" t="n">
        <v>25</v>
      </c>
    </row>
    <row r="251" customFormat="false" ht="12.5" hidden="false" customHeight="true" outlineLevel="0" collapsed="false">
      <c r="A251" s="210" t="s">
        <v>20</v>
      </c>
      <c r="B251" s="211" t="s">
        <v>1121</v>
      </c>
      <c r="C251" s="235" t="n">
        <v>138</v>
      </c>
      <c r="D251" s="236" t="s">
        <v>1422</v>
      </c>
      <c r="E251" s="237"/>
      <c r="F251" s="237" t="n">
        <v>5457.5</v>
      </c>
      <c r="G251" s="238" t="n">
        <v>6167.5</v>
      </c>
      <c r="H251" s="238"/>
      <c r="I251" s="238" t="n">
        <v>5782.92</v>
      </c>
      <c r="J251" s="239" t="n">
        <v>-384.58</v>
      </c>
      <c r="K251" s="238"/>
      <c r="L251" s="238"/>
      <c r="M251" s="238" t="n">
        <v>284.87</v>
      </c>
      <c r="N251" s="240" t="n">
        <v>40.5500000000001</v>
      </c>
      <c r="O251" s="241" t="n">
        <v>-0.93</v>
      </c>
      <c r="P251" s="242" t="n">
        <v>41</v>
      </c>
      <c r="Q251" s="220"/>
      <c r="R251" s="240" t="n">
        <v>1080</v>
      </c>
      <c r="S251" s="241" t="n">
        <v>1</v>
      </c>
      <c r="T251" s="243"/>
      <c r="U251" s="240" t="n">
        <v>1100</v>
      </c>
      <c r="V251" s="241"/>
      <c r="W251" s="244"/>
      <c r="X251" s="239" t="n">
        <v>20</v>
      </c>
      <c r="Y251" s="245" t="n">
        <v>25</v>
      </c>
    </row>
    <row r="252" customFormat="false" ht="12.5" hidden="false" customHeight="true" outlineLevel="0" collapsed="false">
      <c r="A252" s="210" t="s">
        <v>1103</v>
      </c>
      <c r="B252" s="211" t="s">
        <v>1121</v>
      </c>
      <c r="C252" s="246" t="s">
        <v>1423</v>
      </c>
      <c r="D252" s="247" t="s">
        <v>1157</v>
      </c>
      <c r="E252" s="248"/>
      <c r="F252" s="248" t="n">
        <v>35</v>
      </c>
      <c r="G252" s="249" t="n">
        <v>29</v>
      </c>
      <c r="H252" s="249"/>
      <c r="I252" s="249" t="n">
        <v>39.67</v>
      </c>
      <c r="J252" s="250" t="n">
        <v>10.67</v>
      </c>
      <c r="K252" s="249"/>
      <c r="L252" s="249"/>
      <c r="M252" s="249" t="n">
        <v>0.83</v>
      </c>
      <c r="N252" s="251" t="n">
        <v>3.84</v>
      </c>
      <c r="O252" s="252" t="n">
        <v>2.17</v>
      </c>
      <c r="P252" s="253" t="n">
        <v>2</v>
      </c>
      <c r="Q252" s="220"/>
      <c r="R252" s="251"/>
      <c r="S252" s="252"/>
      <c r="T252" s="254" t="n">
        <v>0</v>
      </c>
      <c r="U252" s="251" t="n">
        <v>4</v>
      </c>
      <c r="V252" s="252"/>
      <c r="W252" s="255" t="n">
        <v>8</v>
      </c>
      <c r="X252" s="250" t="n">
        <v>4</v>
      </c>
      <c r="Y252" s="256"/>
    </row>
    <row r="253" customFormat="false" ht="12.5" hidden="false" customHeight="true" outlineLevel="0" collapsed="false">
      <c r="A253" s="210" t="s">
        <v>1103</v>
      </c>
      <c r="B253" s="211" t="s">
        <v>1121</v>
      </c>
      <c r="C253" s="246" t="s">
        <v>1424</v>
      </c>
      <c r="D253" s="247" t="s">
        <v>1425</v>
      </c>
      <c r="E253" s="248"/>
      <c r="F253" s="248" t="n">
        <v>1220</v>
      </c>
      <c r="G253" s="249" t="n">
        <v>1256.5</v>
      </c>
      <c r="H253" s="249"/>
      <c r="I253" s="249" t="n">
        <v>1248.67</v>
      </c>
      <c r="J253" s="250" t="n">
        <v>-7.82999999999993</v>
      </c>
      <c r="K253" s="249"/>
      <c r="L253" s="249"/>
      <c r="M253" s="249" t="n">
        <v>0.46</v>
      </c>
      <c r="N253" s="251" t="n">
        <v>28.2100000000001</v>
      </c>
      <c r="O253" s="252" t="n">
        <v>-1.1</v>
      </c>
      <c r="P253" s="253" t="n">
        <v>29</v>
      </c>
      <c r="Q253" s="220"/>
      <c r="R253" s="251" t="n">
        <v>423</v>
      </c>
      <c r="S253" s="252"/>
      <c r="T253" s="254" t="n">
        <v>8</v>
      </c>
      <c r="U253" s="251" t="n">
        <v>429</v>
      </c>
      <c r="V253" s="252"/>
      <c r="W253" s="255" t="n">
        <v>7.25</v>
      </c>
      <c r="X253" s="250" t="n">
        <v>6</v>
      </c>
      <c r="Y253" s="256" t="n">
        <v>9</v>
      </c>
    </row>
    <row r="254" customFormat="false" ht="12.5" hidden="false" customHeight="true" outlineLevel="0" collapsed="false">
      <c r="A254" s="210" t="s">
        <v>1103</v>
      </c>
      <c r="B254" s="211" t="s">
        <v>1121</v>
      </c>
      <c r="C254" s="246" t="s">
        <v>1426</v>
      </c>
      <c r="D254" s="247" t="s">
        <v>1172</v>
      </c>
      <c r="E254" s="248"/>
      <c r="F254" s="248" t="n">
        <v>5</v>
      </c>
      <c r="G254" s="249" t="n">
        <v>7</v>
      </c>
      <c r="H254" s="249"/>
      <c r="I254" s="249" t="n">
        <v>4</v>
      </c>
      <c r="J254" s="250" t="n">
        <v>-3</v>
      </c>
      <c r="K254" s="249"/>
      <c r="L254" s="249"/>
      <c r="M254" s="249"/>
      <c r="N254" s="251" t="n">
        <v>-1</v>
      </c>
      <c r="O254" s="252"/>
      <c r="P254" s="253" t="n">
        <v>-1</v>
      </c>
      <c r="Q254" s="220"/>
      <c r="R254" s="251" t="n">
        <v>1</v>
      </c>
      <c r="S254" s="252"/>
      <c r="T254" s="254" t="n">
        <v>1</v>
      </c>
      <c r="U254" s="251"/>
      <c r="V254" s="252"/>
      <c r="W254" s="255" t="n">
        <v>0</v>
      </c>
      <c r="X254" s="250" t="n">
        <v>-1</v>
      </c>
      <c r="Y254" s="256"/>
    </row>
    <row r="255" customFormat="false" ht="12.5" hidden="false" customHeight="true" outlineLevel="0" collapsed="false">
      <c r="A255" s="210" t="s">
        <v>1103</v>
      </c>
      <c r="B255" s="211" t="s">
        <v>1121</v>
      </c>
      <c r="C255" s="246" t="s">
        <v>1427</v>
      </c>
      <c r="D255" s="247" t="s">
        <v>1428</v>
      </c>
      <c r="E255" s="248"/>
      <c r="F255" s="248" t="n">
        <v>39</v>
      </c>
      <c r="G255" s="249" t="n">
        <v>46</v>
      </c>
      <c r="H255" s="249"/>
      <c r="I255" s="249" t="n">
        <v>37.58</v>
      </c>
      <c r="J255" s="250" t="n">
        <v>-8.42</v>
      </c>
      <c r="K255" s="249"/>
      <c r="L255" s="249"/>
      <c r="M255" s="249" t="n">
        <v>0.08</v>
      </c>
      <c r="N255" s="251" t="n">
        <v>-1.5</v>
      </c>
      <c r="O255" s="252" t="n">
        <v>-2</v>
      </c>
      <c r="P255" s="253"/>
      <c r="Q255" s="220"/>
      <c r="R255" s="251" t="n">
        <v>2</v>
      </c>
      <c r="S255" s="252" t="n">
        <v>1</v>
      </c>
      <c r="T255" s="254" t="n">
        <v>8</v>
      </c>
      <c r="U255" s="251" t="n">
        <v>2</v>
      </c>
      <c r="V255" s="252"/>
      <c r="W255" s="255" t="n">
        <v>5</v>
      </c>
      <c r="X255" s="250"/>
      <c r="Y255" s="256"/>
    </row>
    <row r="256" customFormat="false" ht="12.5" hidden="false" customHeight="true" outlineLevel="0" collapsed="false">
      <c r="A256" s="210" t="s">
        <v>1103</v>
      </c>
      <c r="B256" s="211" t="s">
        <v>1121</v>
      </c>
      <c r="C256" s="246" t="s">
        <v>1429</v>
      </c>
      <c r="D256" s="247" t="s">
        <v>1430</v>
      </c>
      <c r="E256" s="248"/>
      <c r="F256" s="248" t="n">
        <v>4158.5</v>
      </c>
      <c r="G256" s="249" t="n">
        <v>4829</v>
      </c>
      <c r="H256" s="249"/>
      <c r="I256" s="249" t="n">
        <v>4453</v>
      </c>
      <c r="J256" s="250" t="n">
        <v>-376</v>
      </c>
      <c r="K256" s="249"/>
      <c r="L256" s="249"/>
      <c r="M256" s="249" t="n">
        <v>283.5</v>
      </c>
      <c r="N256" s="251" t="n">
        <v>11</v>
      </c>
      <c r="O256" s="252"/>
      <c r="P256" s="253" t="n">
        <v>11</v>
      </c>
      <c r="Q256" s="220"/>
      <c r="R256" s="251" t="n">
        <v>654</v>
      </c>
      <c r="S256" s="252"/>
      <c r="T256" s="254" t="n">
        <v>1</v>
      </c>
      <c r="U256" s="251" t="n">
        <v>665</v>
      </c>
      <c r="V256" s="252"/>
      <c r="W256" s="255" t="n">
        <v>1</v>
      </c>
      <c r="X256" s="250" t="n">
        <v>11</v>
      </c>
      <c r="Y256" s="256" t="n">
        <v>16</v>
      </c>
    </row>
    <row r="257" customFormat="false" ht="12.5" hidden="false" customHeight="true" outlineLevel="0" collapsed="false">
      <c r="A257" s="210" t="s">
        <v>18</v>
      </c>
      <c r="B257" s="211" t="s">
        <v>1121</v>
      </c>
      <c r="C257" s="224" t="s">
        <v>1431</v>
      </c>
      <c r="D257" s="225" t="s">
        <v>1432</v>
      </c>
      <c r="E257" s="226" t="n">
        <v>-4.17</v>
      </c>
      <c r="F257" s="226" t="n">
        <v>7949.63</v>
      </c>
      <c r="G257" s="227" t="n">
        <v>7964</v>
      </c>
      <c r="H257" s="227" t="n">
        <v>-0.83</v>
      </c>
      <c r="I257" s="227" t="n">
        <v>7921.97</v>
      </c>
      <c r="J257" s="228" t="n">
        <v>-41.2</v>
      </c>
      <c r="K257" s="227"/>
      <c r="L257" s="227" t="n">
        <v>-75</v>
      </c>
      <c r="M257" s="227" t="n">
        <v>-6.56</v>
      </c>
      <c r="N257" s="229" t="n">
        <v>50.56</v>
      </c>
      <c r="O257" s="230" t="n">
        <v>-32.13</v>
      </c>
      <c r="P257" s="231" t="n">
        <v>83</v>
      </c>
      <c r="Q257" s="220"/>
      <c r="R257" s="229" t="n">
        <v>1013.3</v>
      </c>
      <c r="S257" s="230" t="n">
        <v>144.9</v>
      </c>
      <c r="T257" s="232"/>
      <c r="U257" s="229" t="n">
        <v>1069.3</v>
      </c>
      <c r="V257" s="230" t="n">
        <v>46</v>
      </c>
      <c r="W257" s="233"/>
      <c r="X257" s="228" t="n">
        <v>56</v>
      </c>
      <c r="Y257" s="234" t="n">
        <v>23</v>
      </c>
    </row>
    <row r="258" customFormat="false" ht="12.5" hidden="false" customHeight="true" outlineLevel="0" collapsed="false">
      <c r="A258" s="210" t="s">
        <v>20</v>
      </c>
      <c r="B258" s="211" t="s">
        <v>1121</v>
      </c>
      <c r="C258" s="235" t="n">
        <v>150</v>
      </c>
      <c r="D258" s="236" t="s">
        <v>1433</v>
      </c>
      <c r="E258" s="237" t="n">
        <v>-4.17</v>
      </c>
      <c r="F258" s="237" t="n">
        <v>5136.63</v>
      </c>
      <c r="G258" s="238" t="n">
        <v>5119</v>
      </c>
      <c r="H258" s="238" t="n">
        <v>-0.83</v>
      </c>
      <c r="I258" s="238" t="n">
        <v>5083.97</v>
      </c>
      <c r="J258" s="239" t="n">
        <v>-34.2</v>
      </c>
      <c r="K258" s="238"/>
      <c r="L258" s="238" t="n">
        <v>-75</v>
      </c>
      <c r="M258" s="238" t="n">
        <v>-0.02</v>
      </c>
      <c r="N258" s="240" t="n">
        <v>19.02</v>
      </c>
      <c r="O258" s="241" t="n">
        <v>-43.12</v>
      </c>
      <c r="P258" s="242" t="n">
        <v>62</v>
      </c>
      <c r="Q258" s="220"/>
      <c r="R258" s="240" t="n">
        <v>722.3</v>
      </c>
      <c r="S258" s="241" t="n">
        <v>79</v>
      </c>
      <c r="T258" s="243"/>
      <c r="U258" s="240" t="n">
        <v>770.3</v>
      </c>
      <c r="V258" s="241"/>
      <c r="W258" s="244"/>
      <c r="X258" s="239" t="n">
        <v>48</v>
      </c>
      <c r="Y258" s="245" t="n">
        <v>15</v>
      </c>
    </row>
    <row r="259" customFormat="false" ht="12.5" hidden="false" customHeight="true" outlineLevel="0" collapsed="false">
      <c r="A259" s="210" t="s">
        <v>1103</v>
      </c>
      <c r="B259" s="211" t="s">
        <v>1121</v>
      </c>
      <c r="C259" s="246" t="s">
        <v>1434</v>
      </c>
      <c r="D259" s="247" t="s">
        <v>1435</v>
      </c>
      <c r="E259" s="248" t="n">
        <v>-0.67</v>
      </c>
      <c r="F259" s="248" t="n">
        <v>1258.32</v>
      </c>
      <c r="G259" s="249" t="n">
        <v>1487</v>
      </c>
      <c r="H259" s="249" t="n">
        <v>1</v>
      </c>
      <c r="I259" s="249" t="n">
        <v>1231.93</v>
      </c>
      <c r="J259" s="250" t="n">
        <v>-256.07</v>
      </c>
      <c r="K259" s="249"/>
      <c r="L259" s="249" t="n">
        <v>-44</v>
      </c>
      <c r="M259" s="249"/>
      <c r="N259" s="251" t="n">
        <v>15.9400000000001</v>
      </c>
      <c r="O259" s="252" t="n">
        <v>20.29</v>
      </c>
      <c r="P259" s="253" t="n">
        <v>-4</v>
      </c>
      <c r="Q259" s="220"/>
      <c r="R259" s="251" t="n">
        <v>45.8</v>
      </c>
      <c r="S259" s="252" t="n">
        <v>21</v>
      </c>
      <c r="T259" s="254" t="n">
        <v>6.91</v>
      </c>
      <c r="U259" s="251" t="n">
        <v>51.4</v>
      </c>
      <c r="V259" s="252"/>
      <c r="W259" s="255" t="n">
        <v>8.59</v>
      </c>
      <c r="X259" s="250" t="n">
        <v>5.6</v>
      </c>
      <c r="Y259" s="256" t="n">
        <v>15</v>
      </c>
    </row>
    <row r="260" customFormat="false" ht="12.5" hidden="false" customHeight="true" outlineLevel="0" collapsed="false">
      <c r="A260" s="210" t="s">
        <v>1103</v>
      </c>
      <c r="B260" s="211" t="s">
        <v>1121</v>
      </c>
      <c r="C260" s="246" t="s">
        <v>1436</v>
      </c>
      <c r="D260" s="247" t="s">
        <v>1437</v>
      </c>
      <c r="E260" s="248"/>
      <c r="F260" s="248" t="n">
        <v>1010.3</v>
      </c>
      <c r="G260" s="249" t="n">
        <v>910</v>
      </c>
      <c r="H260" s="249"/>
      <c r="I260" s="249" t="n">
        <v>1045.87</v>
      </c>
      <c r="J260" s="250" t="n">
        <v>135.87</v>
      </c>
      <c r="K260" s="249"/>
      <c r="L260" s="249" t="n">
        <v>-2</v>
      </c>
      <c r="M260" s="249"/>
      <c r="N260" s="251" t="n">
        <v>37.5699999999999</v>
      </c>
      <c r="O260" s="252" t="n">
        <v>-40.43</v>
      </c>
      <c r="P260" s="253" t="n">
        <v>78</v>
      </c>
      <c r="Q260" s="220"/>
      <c r="R260" s="251" t="n">
        <v>244.1</v>
      </c>
      <c r="S260" s="252" t="n">
        <v>11</v>
      </c>
      <c r="T260" s="254" t="n">
        <v>9.06</v>
      </c>
      <c r="U260" s="251" t="n">
        <v>265.8</v>
      </c>
      <c r="V260" s="252"/>
      <c r="W260" s="255" t="n">
        <v>5.86</v>
      </c>
      <c r="X260" s="250" t="n">
        <v>21.7</v>
      </c>
      <c r="Y260" s="256"/>
    </row>
    <row r="261" customFormat="false" ht="12.5" hidden="false" customHeight="true" outlineLevel="0" collapsed="false">
      <c r="A261" s="210" t="s">
        <v>1103</v>
      </c>
      <c r="B261" s="211" t="s">
        <v>1121</v>
      </c>
      <c r="C261" s="246" t="s">
        <v>1438</v>
      </c>
      <c r="D261" s="247" t="s">
        <v>1439</v>
      </c>
      <c r="E261" s="248" t="n">
        <v>-1</v>
      </c>
      <c r="F261" s="248" t="n">
        <v>1134.81</v>
      </c>
      <c r="G261" s="249" t="n">
        <v>942</v>
      </c>
      <c r="H261" s="249"/>
      <c r="I261" s="249" t="n">
        <v>1139.31</v>
      </c>
      <c r="J261" s="250" t="n">
        <v>197.31</v>
      </c>
      <c r="K261" s="249"/>
      <c r="L261" s="249" t="n">
        <v>-5</v>
      </c>
      <c r="M261" s="249"/>
      <c r="N261" s="251" t="n">
        <v>8.5</v>
      </c>
      <c r="O261" s="252" t="n">
        <v>21.37</v>
      </c>
      <c r="P261" s="253" t="n">
        <v>-13</v>
      </c>
      <c r="Q261" s="220"/>
      <c r="R261" s="251" t="n">
        <v>183.8</v>
      </c>
      <c r="S261" s="252" t="n">
        <v>20</v>
      </c>
      <c r="T261" s="254" t="n">
        <v>6.04</v>
      </c>
      <c r="U261" s="251" t="n">
        <v>192.6</v>
      </c>
      <c r="V261" s="252"/>
      <c r="W261" s="255" t="n">
        <v>7.16</v>
      </c>
      <c r="X261" s="250" t="n">
        <v>8.79999999999998</v>
      </c>
      <c r="Y261" s="256"/>
    </row>
    <row r="262" customFormat="false" ht="12.5" hidden="false" customHeight="true" outlineLevel="0" collapsed="false">
      <c r="A262" s="210" t="s">
        <v>1103</v>
      </c>
      <c r="B262" s="211" t="s">
        <v>1121</v>
      </c>
      <c r="C262" s="246" t="s">
        <v>1440</v>
      </c>
      <c r="D262" s="247" t="s">
        <v>1441</v>
      </c>
      <c r="E262" s="248" t="n">
        <v>-2.5</v>
      </c>
      <c r="F262" s="248" t="n">
        <v>859.01</v>
      </c>
      <c r="G262" s="249" t="n">
        <v>881</v>
      </c>
      <c r="H262" s="249" t="n">
        <v>-1.83</v>
      </c>
      <c r="I262" s="249" t="n">
        <v>871.03</v>
      </c>
      <c r="J262" s="250" t="n">
        <v>-8.13999999999999</v>
      </c>
      <c r="K262" s="249"/>
      <c r="L262" s="249" t="n">
        <v>-17</v>
      </c>
      <c r="M262" s="249"/>
      <c r="N262" s="251" t="n">
        <v>28.35</v>
      </c>
      <c r="O262" s="252" t="n">
        <v>-25.75</v>
      </c>
      <c r="P262" s="253" t="n">
        <v>54</v>
      </c>
      <c r="Q262" s="220"/>
      <c r="R262" s="251" t="n">
        <v>114.9</v>
      </c>
      <c r="S262" s="252" t="n">
        <v>11</v>
      </c>
      <c r="T262" s="254" t="n">
        <v>7.9</v>
      </c>
      <c r="U262" s="251" t="n">
        <v>193.6</v>
      </c>
      <c r="V262" s="252"/>
      <c r="W262" s="255" t="n">
        <v>6.62</v>
      </c>
      <c r="X262" s="250" t="n">
        <v>78.7</v>
      </c>
      <c r="Y262" s="256"/>
    </row>
    <row r="263" customFormat="false" ht="12.5" hidden="false" customHeight="true" outlineLevel="0" collapsed="false">
      <c r="A263" s="210" t="s">
        <v>1103</v>
      </c>
      <c r="B263" s="211" t="s">
        <v>1121</v>
      </c>
      <c r="C263" s="246" t="s">
        <v>1442</v>
      </c>
      <c r="D263" s="247" t="s">
        <v>1443</v>
      </c>
      <c r="E263" s="248"/>
      <c r="F263" s="248" t="n">
        <v>874.19</v>
      </c>
      <c r="G263" s="249" t="n">
        <v>899</v>
      </c>
      <c r="H263" s="249"/>
      <c r="I263" s="249" t="n">
        <v>795.83</v>
      </c>
      <c r="J263" s="250" t="n">
        <v>-103.17</v>
      </c>
      <c r="K263" s="249"/>
      <c r="L263" s="249" t="n">
        <v>-7</v>
      </c>
      <c r="M263" s="249" t="n">
        <v>-0.02</v>
      </c>
      <c r="N263" s="251" t="n">
        <v>-71.34</v>
      </c>
      <c r="O263" s="252" t="n">
        <v>-18.6</v>
      </c>
      <c r="P263" s="253" t="n">
        <v>-53</v>
      </c>
      <c r="Q263" s="220"/>
      <c r="R263" s="251" t="n">
        <v>133.7</v>
      </c>
      <c r="S263" s="252" t="n">
        <v>16</v>
      </c>
      <c r="T263" s="254" t="n">
        <v>5.89</v>
      </c>
      <c r="U263" s="251" t="n">
        <v>66.9</v>
      </c>
      <c r="V263" s="252"/>
      <c r="W263" s="255" t="n">
        <v>8.25</v>
      </c>
      <c r="X263" s="250" t="n">
        <v>-66.8</v>
      </c>
      <c r="Y263" s="256"/>
    </row>
    <row r="264" customFormat="false" ht="12.5" hidden="false" customHeight="true" outlineLevel="0" collapsed="false">
      <c r="A264" s="210" t="s">
        <v>20</v>
      </c>
      <c r="B264" s="211" t="s">
        <v>1121</v>
      </c>
      <c r="C264" s="235" t="n">
        <v>142</v>
      </c>
      <c r="D264" s="236" t="s">
        <v>1444</v>
      </c>
      <c r="E264" s="237"/>
      <c r="F264" s="237" t="n">
        <v>2813</v>
      </c>
      <c r="G264" s="238" t="n">
        <v>2845</v>
      </c>
      <c r="H264" s="238"/>
      <c r="I264" s="238" t="n">
        <v>2838</v>
      </c>
      <c r="J264" s="239" t="n">
        <v>-7</v>
      </c>
      <c r="K264" s="238"/>
      <c r="L264" s="238"/>
      <c r="M264" s="238" t="n">
        <v>-6.54</v>
      </c>
      <c r="N264" s="240" t="n">
        <v>31.54</v>
      </c>
      <c r="O264" s="241" t="n">
        <v>10.99</v>
      </c>
      <c r="P264" s="242" t="n">
        <v>21</v>
      </c>
      <c r="Q264" s="220"/>
      <c r="R264" s="240" t="n">
        <v>291</v>
      </c>
      <c r="S264" s="241" t="n">
        <v>65.9</v>
      </c>
      <c r="T264" s="243"/>
      <c r="U264" s="240" t="n">
        <v>299</v>
      </c>
      <c r="V264" s="241" t="n">
        <v>46</v>
      </c>
      <c r="W264" s="244"/>
      <c r="X264" s="239" t="n">
        <v>8</v>
      </c>
      <c r="Y264" s="245" t="n">
        <v>8</v>
      </c>
    </row>
    <row r="265" customFormat="false" ht="12.5" hidden="false" customHeight="true" outlineLevel="0" collapsed="false">
      <c r="A265" s="210" t="s">
        <v>1103</v>
      </c>
      <c r="B265" s="211" t="s">
        <v>1121</v>
      </c>
      <c r="C265" s="246" t="s">
        <v>1445</v>
      </c>
      <c r="D265" s="247" t="s">
        <v>1193</v>
      </c>
      <c r="E265" s="248"/>
      <c r="F265" s="248" t="n">
        <v>1207.52</v>
      </c>
      <c r="G265" s="249" t="n">
        <v>1101</v>
      </c>
      <c r="H265" s="249"/>
      <c r="I265" s="249" t="n">
        <v>1273</v>
      </c>
      <c r="J265" s="250" t="n">
        <v>172</v>
      </c>
      <c r="K265" s="249"/>
      <c r="L265" s="249"/>
      <c r="M265" s="249" t="n">
        <v>60.12</v>
      </c>
      <c r="N265" s="251" t="n">
        <v>5.36000000000002</v>
      </c>
      <c r="O265" s="252" t="n">
        <v>-0.47</v>
      </c>
      <c r="P265" s="253" t="n">
        <v>6</v>
      </c>
      <c r="Q265" s="220"/>
      <c r="R265" s="251" t="n">
        <v>37</v>
      </c>
      <c r="S265" s="252" t="n">
        <v>17</v>
      </c>
      <c r="T265" s="254" t="n">
        <v>7.84</v>
      </c>
      <c r="U265" s="251" t="n">
        <v>42</v>
      </c>
      <c r="V265" s="252" t="n">
        <v>25</v>
      </c>
      <c r="W265" s="255" t="n">
        <v>6.79</v>
      </c>
      <c r="X265" s="250" t="n">
        <v>5</v>
      </c>
      <c r="Y265" s="256" t="n">
        <v>8</v>
      </c>
    </row>
    <row r="266" customFormat="false" ht="12.5" hidden="false" customHeight="true" outlineLevel="0" collapsed="false">
      <c r="A266" s="210" t="s">
        <v>1103</v>
      </c>
      <c r="B266" s="211" t="s">
        <v>1121</v>
      </c>
      <c r="C266" s="246" t="s">
        <v>1446</v>
      </c>
      <c r="D266" s="247" t="s">
        <v>1195</v>
      </c>
      <c r="E266" s="248"/>
      <c r="F266" s="248" t="n">
        <v>762.04</v>
      </c>
      <c r="G266" s="249" t="n">
        <v>784</v>
      </c>
      <c r="H266" s="249"/>
      <c r="I266" s="249" t="n">
        <v>752</v>
      </c>
      <c r="J266" s="250" t="n">
        <v>-32</v>
      </c>
      <c r="K266" s="249"/>
      <c r="L266" s="249"/>
      <c r="M266" s="249" t="n">
        <v>-30.26</v>
      </c>
      <c r="N266" s="251" t="n">
        <v>20.22</v>
      </c>
      <c r="O266" s="252" t="n">
        <v>7.34</v>
      </c>
      <c r="P266" s="253" t="n">
        <v>13</v>
      </c>
      <c r="Q266" s="220"/>
      <c r="R266" s="251" t="n">
        <v>127</v>
      </c>
      <c r="S266" s="252" t="n">
        <v>13</v>
      </c>
      <c r="T266" s="254" t="n">
        <v>6.71</v>
      </c>
      <c r="U266" s="251" t="n">
        <v>136</v>
      </c>
      <c r="V266" s="252" t="n">
        <v>10</v>
      </c>
      <c r="W266" s="255" t="n">
        <v>5.99</v>
      </c>
      <c r="X266" s="250" t="n">
        <v>9</v>
      </c>
      <c r="Y266" s="256"/>
    </row>
    <row r="267" customFormat="false" ht="12.5" hidden="false" customHeight="true" outlineLevel="0" collapsed="false">
      <c r="A267" s="210" t="s">
        <v>1103</v>
      </c>
      <c r="B267" s="211" t="s">
        <v>1121</v>
      </c>
      <c r="C267" s="246" t="s">
        <v>1447</v>
      </c>
      <c r="D267" s="247" t="s">
        <v>1197</v>
      </c>
      <c r="E267" s="248"/>
      <c r="F267" s="248" t="n">
        <v>843.44</v>
      </c>
      <c r="G267" s="249" t="n">
        <v>960</v>
      </c>
      <c r="H267" s="249"/>
      <c r="I267" s="249" t="n">
        <v>813</v>
      </c>
      <c r="J267" s="250" t="n">
        <v>-147</v>
      </c>
      <c r="K267" s="249"/>
      <c r="L267" s="249"/>
      <c r="M267" s="249" t="n">
        <v>-36.4</v>
      </c>
      <c r="N267" s="251" t="n">
        <v>5.95999999999994</v>
      </c>
      <c r="O267" s="252" t="n">
        <v>4.12</v>
      </c>
      <c r="P267" s="253" t="n">
        <v>2</v>
      </c>
      <c r="Q267" s="220"/>
      <c r="R267" s="251" t="n">
        <v>127</v>
      </c>
      <c r="S267" s="252" t="n">
        <v>35.9</v>
      </c>
      <c r="T267" s="254" t="n">
        <v>6.2</v>
      </c>
      <c r="U267" s="251" t="n">
        <v>121</v>
      </c>
      <c r="V267" s="252" t="n">
        <v>11</v>
      </c>
      <c r="W267" s="255" t="n">
        <v>5.68</v>
      </c>
      <c r="X267" s="250" t="n">
        <v>-6</v>
      </c>
      <c r="Y267" s="256"/>
    </row>
    <row r="268" customFormat="false" ht="12.5" hidden="false" customHeight="true" outlineLevel="0" collapsed="false">
      <c r="A268" s="210" t="s">
        <v>18</v>
      </c>
      <c r="B268" s="211" t="s">
        <v>1121</v>
      </c>
      <c r="C268" s="224" t="s">
        <v>1448</v>
      </c>
      <c r="D268" s="225" t="s">
        <v>1449</v>
      </c>
      <c r="E268" s="226" t="n">
        <v>8.4</v>
      </c>
      <c r="F268" s="226" t="n">
        <v>252357.84</v>
      </c>
      <c r="G268" s="227" t="n">
        <v>257256.65</v>
      </c>
      <c r="H268" s="227" t="n">
        <v>7.5</v>
      </c>
      <c r="I268" s="227" t="n">
        <v>254898.51</v>
      </c>
      <c r="J268" s="228" t="n">
        <v>-2365.64</v>
      </c>
      <c r="K268" s="227"/>
      <c r="L268" s="227" t="n">
        <v>-89</v>
      </c>
      <c r="M268" s="227" t="n">
        <v>75.37</v>
      </c>
      <c r="N268" s="229" t="n">
        <v>2555.20000000001</v>
      </c>
      <c r="O268" s="230" t="n">
        <v>2589.29</v>
      </c>
      <c r="P268" s="231" t="n">
        <v>-32</v>
      </c>
      <c r="Q268" s="220"/>
      <c r="R268" s="229" t="n">
        <v>25460</v>
      </c>
      <c r="S268" s="230" t="n">
        <v>6326.8</v>
      </c>
      <c r="T268" s="232"/>
      <c r="U268" s="229" t="n">
        <v>27858.31</v>
      </c>
      <c r="V268" s="230" t="n">
        <v>21765.9</v>
      </c>
      <c r="W268" s="233"/>
      <c r="X268" s="228" t="n">
        <v>2398.31</v>
      </c>
      <c r="Y268" s="234" t="n">
        <v>2267</v>
      </c>
    </row>
    <row r="269" customFormat="false" ht="12.5" hidden="false" customHeight="true" outlineLevel="0" collapsed="false">
      <c r="A269" s="210" t="s">
        <v>20</v>
      </c>
      <c r="B269" s="211" t="s">
        <v>1121</v>
      </c>
      <c r="C269" s="235" t="n">
        <v>176</v>
      </c>
      <c r="D269" s="236" t="s">
        <v>1450</v>
      </c>
      <c r="E269" s="237" t="n">
        <v>9.4</v>
      </c>
      <c r="F269" s="237" t="n">
        <v>149687.47</v>
      </c>
      <c r="G269" s="238" t="n">
        <v>151958.54</v>
      </c>
      <c r="H269" s="238" t="n">
        <v>8</v>
      </c>
      <c r="I269" s="238" t="n">
        <v>151407.98</v>
      </c>
      <c r="J269" s="239" t="n">
        <v>-558.559999999995</v>
      </c>
      <c r="K269" s="238"/>
      <c r="L269" s="238" t="n">
        <v>108</v>
      </c>
      <c r="M269" s="238" t="n">
        <v>-7.59</v>
      </c>
      <c r="N269" s="240" t="n">
        <v>1621.50000000001</v>
      </c>
      <c r="O269" s="241" t="n">
        <v>1338.98</v>
      </c>
      <c r="P269" s="242" t="n">
        <v>283</v>
      </c>
      <c r="Q269" s="220"/>
      <c r="R269" s="240" t="n">
        <v>10777.7</v>
      </c>
      <c r="S269" s="241" t="n">
        <v>3000.8</v>
      </c>
      <c r="T269" s="243"/>
      <c r="U269" s="240" t="n">
        <v>11871.4</v>
      </c>
      <c r="V269" s="241" t="n">
        <v>9045.1</v>
      </c>
      <c r="W269" s="244"/>
      <c r="X269" s="239" t="n">
        <v>1093.7</v>
      </c>
      <c r="Y269" s="245" t="n">
        <v>1139</v>
      </c>
    </row>
    <row r="270" customFormat="false" ht="12.5" hidden="false" customHeight="true" outlineLevel="0" collapsed="false">
      <c r="A270" s="210" t="s">
        <v>1103</v>
      </c>
      <c r="B270" s="211" t="s">
        <v>1121</v>
      </c>
      <c r="C270" s="246" t="s">
        <v>1451</v>
      </c>
      <c r="D270" s="247" t="s">
        <v>1151</v>
      </c>
      <c r="E270" s="248" t="n">
        <v>-0.1</v>
      </c>
      <c r="F270" s="248" t="n">
        <v>2262.66</v>
      </c>
      <c r="G270" s="249" t="n">
        <v>1362.28</v>
      </c>
      <c r="H270" s="249" t="n">
        <v>2.08</v>
      </c>
      <c r="I270" s="249" t="n">
        <v>2545.89</v>
      </c>
      <c r="J270" s="250" t="n">
        <v>1181.53</v>
      </c>
      <c r="K270" s="249"/>
      <c r="L270" s="249" t="n">
        <v>-26</v>
      </c>
      <c r="M270" s="249" t="n">
        <v>-0.92</v>
      </c>
      <c r="N270" s="251" t="n">
        <v>307.97</v>
      </c>
      <c r="O270" s="252" t="n">
        <v>163.23</v>
      </c>
      <c r="P270" s="253" t="n">
        <v>145</v>
      </c>
      <c r="Q270" s="220"/>
      <c r="R270" s="251" t="n">
        <v>581.3</v>
      </c>
      <c r="S270" s="252" t="n">
        <v>34</v>
      </c>
      <c r="T270" s="254" t="n">
        <v>7.5</v>
      </c>
      <c r="U270" s="251" t="n">
        <v>722.4</v>
      </c>
      <c r="V270" s="252" t="n">
        <v>514.4</v>
      </c>
      <c r="W270" s="255" t="n">
        <v>6.17</v>
      </c>
      <c r="X270" s="250" t="n">
        <v>141.1</v>
      </c>
      <c r="Y270" s="256" t="n">
        <v>65</v>
      </c>
    </row>
    <row r="271" customFormat="false" ht="12.5" hidden="false" customHeight="true" outlineLevel="0" collapsed="false">
      <c r="A271" s="210" t="s">
        <v>1103</v>
      </c>
      <c r="B271" s="211" t="s">
        <v>1121</v>
      </c>
      <c r="C271" s="246" t="s">
        <v>1452</v>
      </c>
      <c r="D271" s="247" t="s">
        <v>1153</v>
      </c>
      <c r="E271" s="248" t="n">
        <v>-1</v>
      </c>
      <c r="F271" s="248" t="n">
        <v>2469.43</v>
      </c>
      <c r="G271" s="249" t="n">
        <v>2924.06</v>
      </c>
      <c r="H271" s="249"/>
      <c r="I271" s="249" t="n">
        <v>2620.32</v>
      </c>
      <c r="J271" s="250" t="n">
        <v>-303.74</v>
      </c>
      <c r="K271" s="249"/>
      <c r="L271" s="249" t="n">
        <v>-6</v>
      </c>
      <c r="M271" s="249"/>
      <c r="N271" s="251" t="n">
        <v>155.89</v>
      </c>
      <c r="O271" s="252" t="n">
        <v>55.08</v>
      </c>
      <c r="P271" s="253" t="n">
        <v>101</v>
      </c>
      <c r="Q271" s="220"/>
      <c r="R271" s="251" t="n">
        <v>594.3</v>
      </c>
      <c r="S271" s="252" t="n">
        <v>116.1</v>
      </c>
      <c r="T271" s="254" t="n">
        <v>7</v>
      </c>
      <c r="U271" s="251" t="n">
        <v>738.1</v>
      </c>
      <c r="V271" s="252" t="n">
        <v>450</v>
      </c>
      <c r="W271" s="255" t="n">
        <v>6.53</v>
      </c>
      <c r="X271" s="250" t="n">
        <v>143.8</v>
      </c>
      <c r="Y271" s="256" t="n">
        <v>133</v>
      </c>
    </row>
    <row r="272" customFormat="false" ht="12.5" hidden="false" customHeight="true" outlineLevel="0" collapsed="false">
      <c r="A272" s="210" t="s">
        <v>1103</v>
      </c>
      <c r="B272" s="211" t="s">
        <v>1121</v>
      </c>
      <c r="C272" s="246" t="s">
        <v>1453</v>
      </c>
      <c r="D272" s="247" t="s">
        <v>1155</v>
      </c>
      <c r="E272" s="248" t="n">
        <v>0.5</v>
      </c>
      <c r="F272" s="248" t="n">
        <v>11341.99</v>
      </c>
      <c r="G272" s="249" t="n">
        <v>9107.72</v>
      </c>
      <c r="H272" s="249" t="n">
        <v>0.5</v>
      </c>
      <c r="I272" s="249" t="n">
        <v>12315.28</v>
      </c>
      <c r="J272" s="250" t="n">
        <v>3207.06</v>
      </c>
      <c r="K272" s="249"/>
      <c r="L272" s="249" t="n">
        <v>15</v>
      </c>
      <c r="M272" s="249"/>
      <c r="N272" s="251" t="n">
        <v>958.290000000001</v>
      </c>
      <c r="O272" s="252" t="n">
        <v>383.66</v>
      </c>
      <c r="P272" s="253" t="n">
        <v>575</v>
      </c>
      <c r="Q272" s="220"/>
      <c r="R272" s="251" t="n">
        <v>1604.2</v>
      </c>
      <c r="S272" s="252" t="n">
        <v>221.1</v>
      </c>
      <c r="T272" s="254" t="n">
        <v>7</v>
      </c>
      <c r="U272" s="251" t="n">
        <v>2360.1</v>
      </c>
      <c r="V272" s="252" t="n">
        <v>1595.4</v>
      </c>
      <c r="W272" s="255" t="n">
        <v>6</v>
      </c>
      <c r="X272" s="250" t="n">
        <v>755.9</v>
      </c>
      <c r="Y272" s="256" t="n">
        <v>269</v>
      </c>
    </row>
    <row r="273" customFormat="false" ht="12.5" hidden="false" customHeight="true" outlineLevel="0" collapsed="false">
      <c r="A273" s="210" t="s">
        <v>1103</v>
      </c>
      <c r="B273" s="211" t="s">
        <v>1121</v>
      </c>
      <c r="C273" s="246" t="s">
        <v>1454</v>
      </c>
      <c r="D273" s="247" t="s">
        <v>1157</v>
      </c>
      <c r="E273" s="248"/>
      <c r="F273" s="248" t="n">
        <v>4309.45</v>
      </c>
      <c r="G273" s="249" t="n">
        <v>4693.7</v>
      </c>
      <c r="H273" s="249"/>
      <c r="I273" s="249" t="n">
        <v>4498.35</v>
      </c>
      <c r="J273" s="250" t="n">
        <v>-195.349999999999</v>
      </c>
      <c r="K273" s="249"/>
      <c r="L273" s="249" t="n">
        <v>125</v>
      </c>
      <c r="M273" s="249" t="n">
        <v>-1.75</v>
      </c>
      <c r="N273" s="251" t="n">
        <v>65.6500000000006</v>
      </c>
      <c r="O273" s="252" t="n">
        <v>35.56</v>
      </c>
      <c r="P273" s="253" t="n">
        <v>30</v>
      </c>
      <c r="Q273" s="220"/>
      <c r="R273" s="251" t="n">
        <v>425.5</v>
      </c>
      <c r="S273" s="252" t="n">
        <v>90.4</v>
      </c>
      <c r="T273" s="254" t="n">
        <v>6.93</v>
      </c>
      <c r="U273" s="251" t="n">
        <v>558.6</v>
      </c>
      <c r="V273" s="252" t="n">
        <v>254.3</v>
      </c>
      <c r="W273" s="255" t="n">
        <v>7.73</v>
      </c>
      <c r="X273" s="250" t="n">
        <v>133.1</v>
      </c>
      <c r="Y273" s="256" t="n">
        <v>22</v>
      </c>
    </row>
    <row r="274" customFormat="false" ht="12.5" hidden="false" customHeight="true" outlineLevel="0" collapsed="false">
      <c r="A274" s="210" t="s">
        <v>1103</v>
      </c>
      <c r="B274" s="211" t="s">
        <v>1121</v>
      </c>
      <c r="C274" s="246" t="s">
        <v>1455</v>
      </c>
      <c r="D274" s="247" t="s">
        <v>1172</v>
      </c>
      <c r="E274" s="248"/>
      <c r="F274" s="248" t="n">
        <v>97.55</v>
      </c>
      <c r="G274" s="249" t="n">
        <v>56.63</v>
      </c>
      <c r="H274" s="249"/>
      <c r="I274" s="249" t="n">
        <v>87.6</v>
      </c>
      <c r="J274" s="250" t="n">
        <v>30.97</v>
      </c>
      <c r="K274" s="249"/>
      <c r="L274" s="249"/>
      <c r="M274" s="249"/>
      <c r="N274" s="251" t="n">
        <v>-9.95</v>
      </c>
      <c r="O274" s="252" t="n">
        <v>-5.17</v>
      </c>
      <c r="P274" s="253" t="n">
        <v>-5</v>
      </c>
      <c r="Q274" s="220"/>
      <c r="R274" s="251" t="n">
        <v>9.2</v>
      </c>
      <c r="S274" s="252" t="n">
        <v>5</v>
      </c>
      <c r="T274" s="254" t="n">
        <v>6.77</v>
      </c>
      <c r="U274" s="251"/>
      <c r="V274" s="252"/>
      <c r="W274" s="255" t="n">
        <v>0</v>
      </c>
      <c r="X274" s="250" t="n">
        <v>-9.2</v>
      </c>
      <c r="Y274" s="256" t="n">
        <v>-8</v>
      </c>
    </row>
    <row r="275" customFormat="false" ht="12.5" hidden="false" customHeight="true" outlineLevel="0" collapsed="false">
      <c r="A275" s="210" t="s">
        <v>1103</v>
      </c>
      <c r="B275" s="211" t="s">
        <v>1121</v>
      </c>
      <c r="C275" s="246" t="s">
        <v>1456</v>
      </c>
      <c r="D275" s="247" t="s">
        <v>1174</v>
      </c>
      <c r="E275" s="248" t="n">
        <v>5.5</v>
      </c>
      <c r="F275" s="248" t="n">
        <v>8312.09</v>
      </c>
      <c r="G275" s="249" t="n">
        <v>7988.17</v>
      </c>
      <c r="H275" s="249" t="n">
        <v>2</v>
      </c>
      <c r="I275" s="249" t="n">
        <v>8054.45</v>
      </c>
      <c r="J275" s="250" t="n">
        <v>64.2799999999998</v>
      </c>
      <c r="K275" s="249"/>
      <c r="L275" s="249" t="n">
        <v>-1</v>
      </c>
      <c r="M275" s="249" t="n">
        <v>-4.92</v>
      </c>
      <c r="N275" s="251" t="n">
        <v>-248.22</v>
      </c>
      <c r="O275" s="252" t="n">
        <v>-76.14</v>
      </c>
      <c r="P275" s="253" t="n">
        <v>-172</v>
      </c>
      <c r="Q275" s="220"/>
      <c r="R275" s="251" t="n">
        <v>661.7</v>
      </c>
      <c r="S275" s="252" t="n">
        <v>515</v>
      </c>
      <c r="T275" s="254" t="n">
        <v>7.23</v>
      </c>
      <c r="U275" s="251" t="n">
        <v>383.6</v>
      </c>
      <c r="V275" s="252" t="n">
        <v>239</v>
      </c>
      <c r="W275" s="255" t="n">
        <v>8.43</v>
      </c>
      <c r="X275" s="250" t="n">
        <v>-278.1</v>
      </c>
      <c r="Y275" s="256" t="n">
        <v>-253</v>
      </c>
    </row>
    <row r="276" customFormat="false" ht="12.5" hidden="false" customHeight="true" outlineLevel="0" collapsed="false">
      <c r="A276" s="210" t="s">
        <v>1103</v>
      </c>
      <c r="B276" s="211" t="s">
        <v>1121</v>
      </c>
      <c r="C276" s="246" t="s">
        <v>1457</v>
      </c>
      <c r="D276" s="247" t="s">
        <v>1176</v>
      </c>
      <c r="E276" s="248" t="n">
        <v>4.5</v>
      </c>
      <c r="F276" s="248" t="n">
        <v>110001.51</v>
      </c>
      <c r="G276" s="249" t="n">
        <v>112945.73</v>
      </c>
      <c r="H276" s="249" t="n">
        <v>3.42</v>
      </c>
      <c r="I276" s="249" t="n">
        <v>111486.67</v>
      </c>
      <c r="J276" s="250" t="n">
        <v>-1462.48</v>
      </c>
      <c r="K276" s="249"/>
      <c r="L276" s="249" t="n">
        <v>1</v>
      </c>
      <c r="M276" s="249"/>
      <c r="N276" s="251" t="n">
        <v>1485.24000000001</v>
      </c>
      <c r="O276" s="252" t="n">
        <v>1937.61</v>
      </c>
      <c r="P276" s="253" t="n">
        <v>-452</v>
      </c>
      <c r="Q276" s="220"/>
      <c r="R276" s="251" t="n">
        <v>3748.3</v>
      </c>
      <c r="S276" s="252" t="n">
        <v>1997.2</v>
      </c>
      <c r="T276" s="254" t="n">
        <v>7.2</v>
      </c>
      <c r="U276" s="251" t="n">
        <v>4660.5</v>
      </c>
      <c r="V276" s="252" t="n">
        <v>3676</v>
      </c>
      <c r="W276" s="255" t="n">
        <v>9.5</v>
      </c>
      <c r="X276" s="250" t="n">
        <v>912.2</v>
      </c>
      <c r="Y276" s="256" t="n">
        <v>1047</v>
      </c>
    </row>
    <row r="277" customFormat="false" ht="12.5" hidden="false" customHeight="true" outlineLevel="0" collapsed="false">
      <c r="A277" s="210" t="s">
        <v>1103</v>
      </c>
      <c r="B277" s="211" t="s">
        <v>1121</v>
      </c>
      <c r="C277" s="246" t="s">
        <v>1458</v>
      </c>
      <c r="D277" s="247" t="s">
        <v>1459</v>
      </c>
      <c r="E277" s="248"/>
      <c r="F277" s="248" t="n">
        <v>2922.22</v>
      </c>
      <c r="G277" s="249" t="n">
        <v>3382.91</v>
      </c>
      <c r="H277" s="249"/>
      <c r="I277" s="249" t="n">
        <v>2996.81</v>
      </c>
      <c r="J277" s="250" t="n">
        <v>-386.1</v>
      </c>
      <c r="K277" s="249"/>
      <c r="L277" s="249"/>
      <c r="M277" s="249"/>
      <c r="N277" s="251" t="n">
        <v>74.5900000000002</v>
      </c>
      <c r="O277" s="252" t="n">
        <v>-30.83</v>
      </c>
      <c r="P277" s="253" t="n">
        <v>105</v>
      </c>
      <c r="Q277" s="220"/>
      <c r="R277" s="251" t="n">
        <v>158.2</v>
      </c>
      <c r="S277" s="252" t="n">
        <v>22</v>
      </c>
      <c r="T277" s="254" t="n">
        <v>6.93</v>
      </c>
      <c r="U277" s="251" t="n">
        <v>241.1</v>
      </c>
      <c r="V277" s="252" t="n">
        <v>168</v>
      </c>
      <c r="W277" s="255" t="n">
        <v>3.77</v>
      </c>
      <c r="X277" s="250" t="n">
        <v>82.9</v>
      </c>
      <c r="Y277" s="256" t="n">
        <v>101</v>
      </c>
    </row>
    <row r="278" customFormat="false" ht="12.5" hidden="false" customHeight="true" outlineLevel="0" collapsed="false">
      <c r="A278" s="210" t="s">
        <v>1103</v>
      </c>
      <c r="B278" s="211" t="s">
        <v>1121</v>
      </c>
      <c r="C278" s="246" t="s">
        <v>1460</v>
      </c>
      <c r="D278" s="247" t="s">
        <v>1461</v>
      </c>
      <c r="E278" s="248"/>
      <c r="F278" s="248" t="n">
        <v>7970.57</v>
      </c>
      <c r="G278" s="249" t="n">
        <v>9497.34</v>
      </c>
      <c r="H278" s="249"/>
      <c r="I278" s="249" t="n">
        <v>6802.61</v>
      </c>
      <c r="J278" s="250" t="n">
        <v>-2694.73</v>
      </c>
      <c r="K278" s="249"/>
      <c r="L278" s="249"/>
      <c r="M278" s="249"/>
      <c r="N278" s="251" t="n">
        <v>-1167.96</v>
      </c>
      <c r="O278" s="252" t="n">
        <v>-1124.02</v>
      </c>
      <c r="P278" s="253" t="n">
        <v>-44</v>
      </c>
      <c r="Q278" s="220"/>
      <c r="R278" s="251" t="n">
        <v>2995</v>
      </c>
      <c r="S278" s="252"/>
      <c r="T278" s="254" t="n">
        <v>8.97</v>
      </c>
      <c r="U278" s="251" t="n">
        <v>2207</v>
      </c>
      <c r="V278" s="252" t="n">
        <v>2148</v>
      </c>
      <c r="W278" s="255" t="n">
        <v>7.77</v>
      </c>
      <c r="X278" s="250" t="n">
        <v>-788</v>
      </c>
      <c r="Y278" s="256" t="n">
        <v>-237</v>
      </c>
    </row>
    <row r="279" customFormat="false" ht="12.5" hidden="false" customHeight="true" outlineLevel="0" collapsed="false">
      <c r="A279" s="210" t="s">
        <v>20</v>
      </c>
      <c r="B279" s="211" t="s">
        <v>1121</v>
      </c>
      <c r="C279" s="235" t="n">
        <v>152</v>
      </c>
      <c r="D279" s="236" t="s">
        <v>1462</v>
      </c>
      <c r="E279" s="237" t="n">
        <v>-1</v>
      </c>
      <c r="F279" s="237" t="n">
        <v>100208.4</v>
      </c>
      <c r="G279" s="238" t="n">
        <v>102622.75</v>
      </c>
      <c r="H279" s="238" t="n">
        <v>-0.5</v>
      </c>
      <c r="I279" s="238" t="n">
        <v>100858.73</v>
      </c>
      <c r="J279" s="239" t="n">
        <v>-1763.52</v>
      </c>
      <c r="K279" s="238"/>
      <c r="L279" s="238" t="n">
        <v>-197</v>
      </c>
      <c r="M279" s="238" t="n">
        <v>78.21</v>
      </c>
      <c r="N279" s="240" t="n">
        <v>768.620000000007</v>
      </c>
      <c r="O279" s="241" t="n">
        <v>1210.72</v>
      </c>
      <c r="P279" s="242" t="n">
        <v>-441</v>
      </c>
      <c r="Q279" s="220"/>
      <c r="R279" s="240" t="n">
        <v>14030.3</v>
      </c>
      <c r="S279" s="241" t="n">
        <v>3270</v>
      </c>
      <c r="T279" s="243"/>
      <c r="U279" s="240" t="n">
        <v>15088.91</v>
      </c>
      <c r="V279" s="241" t="n">
        <v>12720.8</v>
      </c>
      <c r="W279" s="244"/>
      <c r="X279" s="239" t="n">
        <v>1058.61</v>
      </c>
      <c r="Y279" s="245" t="n">
        <v>1045</v>
      </c>
    </row>
    <row r="280" customFormat="false" ht="12.5" hidden="false" customHeight="true" outlineLevel="0" collapsed="false">
      <c r="A280" s="210" t="s">
        <v>1103</v>
      </c>
      <c r="B280" s="211" t="s">
        <v>1121</v>
      </c>
      <c r="C280" s="246" t="s">
        <v>1463</v>
      </c>
      <c r="D280" s="247" t="s">
        <v>1149</v>
      </c>
      <c r="E280" s="248"/>
      <c r="F280" s="248" t="n">
        <v>6.04</v>
      </c>
      <c r="G280" s="249"/>
      <c r="H280" s="249"/>
      <c r="I280" s="249" t="n">
        <v>8.8</v>
      </c>
      <c r="J280" s="250" t="n">
        <v>8.8</v>
      </c>
      <c r="K280" s="249"/>
      <c r="L280" s="249"/>
      <c r="M280" s="249"/>
      <c r="N280" s="251" t="n">
        <v>2.76</v>
      </c>
      <c r="O280" s="252" t="n">
        <v>1.76</v>
      </c>
      <c r="P280" s="253" t="n">
        <v>1</v>
      </c>
      <c r="Q280" s="220"/>
      <c r="R280" s="251" t="n">
        <v>3</v>
      </c>
      <c r="S280" s="252"/>
      <c r="T280" s="254" t="n">
        <v>7.7</v>
      </c>
      <c r="U280" s="251" t="n">
        <v>4</v>
      </c>
      <c r="V280" s="252"/>
      <c r="W280" s="255" t="n">
        <v>6.03</v>
      </c>
      <c r="X280" s="250" t="n">
        <v>1</v>
      </c>
      <c r="Y280" s="256"/>
    </row>
    <row r="281" customFormat="false" ht="12.5" hidden="false" customHeight="true" outlineLevel="0" collapsed="false">
      <c r="A281" s="210" t="s">
        <v>1103</v>
      </c>
      <c r="B281" s="211" t="s">
        <v>1121</v>
      </c>
      <c r="C281" s="246" t="s">
        <v>1464</v>
      </c>
      <c r="D281" s="247" t="s">
        <v>1151</v>
      </c>
      <c r="E281" s="248" t="n">
        <v>-1</v>
      </c>
      <c r="F281" s="248" t="n">
        <v>379.06</v>
      </c>
      <c r="G281" s="249" t="n">
        <v>152.5</v>
      </c>
      <c r="H281" s="249"/>
      <c r="I281" s="249" t="n">
        <v>426.34</v>
      </c>
      <c r="J281" s="250" t="n">
        <v>273.84</v>
      </c>
      <c r="K281" s="249"/>
      <c r="L281" s="249" t="n">
        <v>-15</v>
      </c>
      <c r="M281" s="249" t="n">
        <v>6.08</v>
      </c>
      <c r="N281" s="251" t="n">
        <v>55.2</v>
      </c>
      <c r="O281" s="252" t="n">
        <v>34.31</v>
      </c>
      <c r="P281" s="253" t="n">
        <v>21</v>
      </c>
      <c r="Q281" s="220"/>
      <c r="R281" s="251" t="n">
        <v>79.3</v>
      </c>
      <c r="S281" s="252" t="n">
        <v>6</v>
      </c>
      <c r="T281" s="254" t="n">
        <v>6.7</v>
      </c>
      <c r="U281" s="251" t="n">
        <v>122.4</v>
      </c>
      <c r="V281" s="252" t="n">
        <v>71.7</v>
      </c>
      <c r="W281" s="255" t="n">
        <v>6.87</v>
      </c>
      <c r="X281" s="250" t="n">
        <v>43.1</v>
      </c>
      <c r="Y281" s="256" t="n">
        <v>10</v>
      </c>
    </row>
    <row r="282" customFormat="false" ht="12.5" hidden="false" customHeight="true" outlineLevel="0" collapsed="false">
      <c r="A282" s="210" t="s">
        <v>1103</v>
      </c>
      <c r="B282" s="211" t="s">
        <v>1121</v>
      </c>
      <c r="C282" s="246" t="s">
        <v>1465</v>
      </c>
      <c r="D282" s="247" t="s">
        <v>1153</v>
      </c>
      <c r="E282" s="248"/>
      <c r="F282" s="248" t="n">
        <v>761.1</v>
      </c>
      <c r="G282" s="249" t="n">
        <v>784.21</v>
      </c>
      <c r="H282" s="249" t="n">
        <v>-0.5</v>
      </c>
      <c r="I282" s="249" t="n">
        <v>805.09</v>
      </c>
      <c r="J282" s="250" t="n">
        <v>21.38</v>
      </c>
      <c r="K282" s="249"/>
      <c r="L282" s="249" t="n">
        <v>-13</v>
      </c>
      <c r="M282" s="249" t="n">
        <v>2.62</v>
      </c>
      <c r="N282" s="251" t="n">
        <v>54.87</v>
      </c>
      <c r="O282" s="252" t="n">
        <v>26.22</v>
      </c>
      <c r="P282" s="253" t="n">
        <v>29</v>
      </c>
      <c r="Q282" s="220"/>
      <c r="R282" s="251" t="n">
        <v>161.7</v>
      </c>
      <c r="S282" s="252" t="n">
        <v>14.5</v>
      </c>
      <c r="T282" s="254" t="n">
        <v>6.6</v>
      </c>
      <c r="U282" s="251" t="n">
        <v>237.7</v>
      </c>
      <c r="V282" s="252" t="n">
        <v>95.7</v>
      </c>
      <c r="W282" s="255" t="n">
        <v>7.2</v>
      </c>
      <c r="X282" s="250" t="n">
        <v>76</v>
      </c>
      <c r="Y282" s="256" t="n">
        <v>93</v>
      </c>
    </row>
    <row r="283" customFormat="false" ht="12.5" hidden="false" customHeight="true" outlineLevel="0" collapsed="false">
      <c r="A283" s="210" t="s">
        <v>1103</v>
      </c>
      <c r="B283" s="211" t="s">
        <v>1121</v>
      </c>
      <c r="C283" s="246" t="s">
        <v>1466</v>
      </c>
      <c r="D283" s="247" t="s">
        <v>1155</v>
      </c>
      <c r="E283" s="248"/>
      <c r="F283" s="248" t="n">
        <v>1668.02</v>
      </c>
      <c r="G283" s="249" t="n">
        <v>1799.96</v>
      </c>
      <c r="H283" s="249"/>
      <c r="I283" s="249" t="n">
        <v>1688.43</v>
      </c>
      <c r="J283" s="250" t="n">
        <v>-111.53</v>
      </c>
      <c r="K283" s="249"/>
      <c r="L283" s="249" t="n">
        <v>-15</v>
      </c>
      <c r="M283" s="249" t="n">
        <v>8.75</v>
      </c>
      <c r="N283" s="251" t="n">
        <v>26.6600000000001</v>
      </c>
      <c r="O283" s="252" t="n">
        <v>16.06</v>
      </c>
      <c r="P283" s="253" t="n">
        <v>11</v>
      </c>
      <c r="Q283" s="220"/>
      <c r="R283" s="251" t="n">
        <v>436.7</v>
      </c>
      <c r="S283" s="252" t="n">
        <v>15.6</v>
      </c>
      <c r="T283" s="254" t="n">
        <v>6.8</v>
      </c>
      <c r="U283" s="251" t="n">
        <v>503.5</v>
      </c>
      <c r="V283" s="252" t="n">
        <v>278.7</v>
      </c>
      <c r="W283" s="255" t="n">
        <v>7.37</v>
      </c>
      <c r="X283" s="250" t="n">
        <v>66.8</v>
      </c>
      <c r="Y283" s="256" t="n">
        <v>-5</v>
      </c>
    </row>
    <row r="284" customFormat="false" ht="12.5" hidden="false" customHeight="true" outlineLevel="0" collapsed="false">
      <c r="A284" s="210" t="s">
        <v>1103</v>
      </c>
      <c r="B284" s="211" t="s">
        <v>1121</v>
      </c>
      <c r="C284" s="246" t="s">
        <v>1467</v>
      </c>
      <c r="D284" s="247" t="s">
        <v>1157</v>
      </c>
      <c r="E284" s="248"/>
      <c r="F284" s="248" t="n">
        <v>2072.96</v>
      </c>
      <c r="G284" s="249" t="n">
        <v>1939.44</v>
      </c>
      <c r="H284" s="249"/>
      <c r="I284" s="249" t="n">
        <v>2021.87</v>
      </c>
      <c r="J284" s="250" t="n">
        <v>82.4299999999998</v>
      </c>
      <c r="K284" s="249"/>
      <c r="L284" s="249" t="n">
        <v>-154</v>
      </c>
      <c r="M284" s="249" t="n">
        <v>74.48</v>
      </c>
      <c r="N284" s="251" t="n">
        <v>28.4299999999999</v>
      </c>
      <c r="O284" s="252" t="n">
        <v>58.39</v>
      </c>
      <c r="P284" s="253" t="n">
        <v>-30</v>
      </c>
      <c r="Q284" s="220"/>
      <c r="R284" s="251" t="n">
        <v>397.6</v>
      </c>
      <c r="S284" s="252" t="n">
        <v>19.9</v>
      </c>
      <c r="T284" s="254" t="n">
        <v>5.4</v>
      </c>
      <c r="U284" s="251" t="n">
        <v>502.3</v>
      </c>
      <c r="V284" s="252" t="n">
        <v>349.7</v>
      </c>
      <c r="W284" s="255" t="n">
        <v>7.7</v>
      </c>
      <c r="X284" s="250" t="n">
        <v>104.7</v>
      </c>
      <c r="Y284" s="256" t="n">
        <v>122</v>
      </c>
    </row>
    <row r="285" customFormat="false" ht="12.5" hidden="false" customHeight="true" outlineLevel="0" collapsed="false">
      <c r="A285" s="210" t="s">
        <v>1103</v>
      </c>
      <c r="B285" s="211" t="s">
        <v>1121</v>
      </c>
      <c r="C285" s="246" t="s">
        <v>1468</v>
      </c>
      <c r="D285" s="247" t="s">
        <v>1172</v>
      </c>
      <c r="E285" s="248"/>
      <c r="F285" s="248" t="n">
        <v>230.65</v>
      </c>
      <c r="G285" s="249" t="n">
        <v>363.34</v>
      </c>
      <c r="H285" s="249"/>
      <c r="I285" s="249" t="n">
        <v>211.34</v>
      </c>
      <c r="J285" s="250" t="n">
        <v>-152</v>
      </c>
      <c r="K285" s="249"/>
      <c r="L285" s="249"/>
      <c r="M285" s="249" t="n">
        <v>-0.04</v>
      </c>
      <c r="N285" s="251" t="n">
        <v>-19.27</v>
      </c>
      <c r="O285" s="252" t="n">
        <v>-10.77</v>
      </c>
      <c r="P285" s="253" t="n">
        <v>-8</v>
      </c>
      <c r="Q285" s="220"/>
      <c r="R285" s="251" t="n">
        <v>15</v>
      </c>
      <c r="S285" s="252" t="n">
        <v>14</v>
      </c>
      <c r="T285" s="254" t="n">
        <v>6.2</v>
      </c>
      <c r="U285" s="251"/>
      <c r="V285" s="252"/>
      <c r="W285" s="255" t="n">
        <v>0</v>
      </c>
      <c r="X285" s="250" t="n">
        <v>-15</v>
      </c>
      <c r="Y285" s="256" t="n">
        <v>-20</v>
      </c>
    </row>
    <row r="286" customFormat="false" ht="12.5" hidden="false" customHeight="true" outlineLevel="0" collapsed="false">
      <c r="A286" s="210" t="s">
        <v>1103</v>
      </c>
      <c r="B286" s="211" t="s">
        <v>1121</v>
      </c>
      <c r="C286" s="246" t="s">
        <v>1469</v>
      </c>
      <c r="D286" s="247" t="s">
        <v>1178</v>
      </c>
      <c r="E286" s="248"/>
      <c r="F286" s="248" t="n">
        <v>5532.21</v>
      </c>
      <c r="G286" s="249" t="n">
        <v>5940.1</v>
      </c>
      <c r="H286" s="249"/>
      <c r="I286" s="249" t="n">
        <v>5501.63</v>
      </c>
      <c r="J286" s="250" t="n">
        <v>-438.47</v>
      </c>
      <c r="K286" s="249"/>
      <c r="L286" s="249"/>
      <c r="M286" s="249" t="n">
        <v>-1.65</v>
      </c>
      <c r="N286" s="251" t="n">
        <v>-28.9299999999999</v>
      </c>
      <c r="O286" s="252" t="n">
        <v>16.15</v>
      </c>
      <c r="P286" s="253" t="n">
        <v>-45</v>
      </c>
      <c r="Q286" s="220"/>
      <c r="R286" s="251" t="n">
        <v>434</v>
      </c>
      <c r="S286" s="252" t="n">
        <v>248</v>
      </c>
      <c r="T286" s="254" t="n">
        <v>7.1</v>
      </c>
      <c r="U286" s="251" t="n">
        <v>396.01</v>
      </c>
      <c r="V286" s="252" t="n">
        <v>157</v>
      </c>
      <c r="W286" s="255" t="n">
        <v>7.9</v>
      </c>
      <c r="X286" s="250" t="n">
        <v>-37.99</v>
      </c>
      <c r="Y286" s="256" t="n">
        <v>-155</v>
      </c>
    </row>
    <row r="287" customFormat="false" ht="12.5" hidden="false" customHeight="true" outlineLevel="0" collapsed="false">
      <c r="A287" s="210" t="s">
        <v>1103</v>
      </c>
      <c r="B287" s="211" t="s">
        <v>1121</v>
      </c>
      <c r="C287" s="246" t="s">
        <v>1470</v>
      </c>
      <c r="D287" s="247" t="s">
        <v>1180</v>
      </c>
      <c r="E287" s="248"/>
      <c r="F287" s="248" t="n">
        <v>581.02</v>
      </c>
      <c r="G287" s="249" t="n">
        <v>587.85</v>
      </c>
      <c r="H287" s="249"/>
      <c r="I287" s="249" t="n">
        <v>587.44</v>
      </c>
      <c r="J287" s="250" t="n">
        <v>-0.409999999999968</v>
      </c>
      <c r="K287" s="249"/>
      <c r="L287" s="249"/>
      <c r="M287" s="249" t="n">
        <v>-0.86</v>
      </c>
      <c r="N287" s="251" t="n">
        <v>7.28000000000007</v>
      </c>
      <c r="O287" s="252" t="n">
        <v>1.45</v>
      </c>
      <c r="P287" s="253" t="n">
        <v>6</v>
      </c>
      <c r="Q287" s="220"/>
      <c r="R287" s="251" t="n">
        <v>50</v>
      </c>
      <c r="S287" s="252" t="n">
        <v>10</v>
      </c>
      <c r="T287" s="254" t="n">
        <v>7.5</v>
      </c>
      <c r="U287" s="251" t="n">
        <v>69</v>
      </c>
      <c r="V287" s="252" t="n">
        <v>23</v>
      </c>
      <c r="W287" s="255" t="n">
        <v>8</v>
      </c>
      <c r="X287" s="250" t="n">
        <v>19</v>
      </c>
      <c r="Y287" s="256" t="n">
        <v>-7</v>
      </c>
    </row>
    <row r="288" customFormat="false" ht="12.5" hidden="false" customHeight="true" outlineLevel="0" collapsed="false">
      <c r="A288" s="210" t="s">
        <v>1103</v>
      </c>
      <c r="B288" s="211" t="s">
        <v>1121</v>
      </c>
      <c r="C288" s="246" t="s">
        <v>1471</v>
      </c>
      <c r="D288" s="247" t="s">
        <v>1182</v>
      </c>
      <c r="E288" s="248"/>
      <c r="F288" s="248" t="n">
        <v>73549.59</v>
      </c>
      <c r="G288" s="249" t="n">
        <v>76781.91</v>
      </c>
      <c r="H288" s="249"/>
      <c r="I288" s="249" t="n">
        <v>75154.3</v>
      </c>
      <c r="J288" s="250" t="n">
        <v>-1627.61</v>
      </c>
      <c r="K288" s="249"/>
      <c r="L288" s="249"/>
      <c r="M288" s="249" t="n">
        <v>-39.61</v>
      </c>
      <c r="N288" s="251" t="n">
        <v>1644.32000000001</v>
      </c>
      <c r="O288" s="252" t="n">
        <v>1632.01</v>
      </c>
      <c r="P288" s="253" t="n">
        <v>12</v>
      </c>
      <c r="Q288" s="220"/>
      <c r="R288" s="251" t="n">
        <v>5264</v>
      </c>
      <c r="S288" s="252" t="n">
        <v>2794</v>
      </c>
      <c r="T288" s="254" t="n">
        <v>6.9</v>
      </c>
      <c r="U288" s="251" t="n">
        <v>7121</v>
      </c>
      <c r="V288" s="252" t="n">
        <v>6081</v>
      </c>
      <c r="W288" s="255" t="n">
        <v>8.47</v>
      </c>
      <c r="X288" s="250" t="n">
        <v>1857</v>
      </c>
      <c r="Y288" s="256" t="n">
        <v>1900</v>
      </c>
    </row>
    <row r="289" customFormat="false" ht="12.5" hidden="false" customHeight="true" outlineLevel="0" collapsed="false">
      <c r="A289" s="210" t="s">
        <v>1103</v>
      </c>
      <c r="B289" s="211" t="s">
        <v>1121</v>
      </c>
      <c r="C289" s="246" t="s">
        <v>1472</v>
      </c>
      <c r="D289" s="247" t="s">
        <v>1184</v>
      </c>
      <c r="E289" s="248"/>
      <c r="F289" s="248" t="n">
        <v>4717.74</v>
      </c>
      <c r="G289" s="249" t="n">
        <v>5089.44</v>
      </c>
      <c r="H289" s="249"/>
      <c r="I289" s="249" t="n">
        <v>4700.14</v>
      </c>
      <c r="J289" s="250" t="n">
        <v>-389.299999999999</v>
      </c>
      <c r="K289" s="249"/>
      <c r="L289" s="249"/>
      <c r="M289" s="249" t="n">
        <v>2.31</v>
      </c>
      <c r="N289" s="251" t="n">
        <v>-19.9099999999995</v>
      </c>
      <c r="O289" s="252" t="n">
        <v>-34.24</v>
      </c>
      <c r="P289" s="253" t="n">
        <v>14</v>
      </c>
      <c r="Q289" s="220"/>
      <c r="R289" s="251" t="n">
        <v>402</v>
      </c>
      <c r="S289" s="252" t="n">
        <v>148</v>
      </c>
      <c r="T289" s="254" t="n">
        <v>7.1</v>
      </c>
      <c r="U289" s="251" t="n">
        <v>417</v>
      </c>
      <c r="V289" s="252" t="n">
        <v>288</v>
      </c>
      <c r="W289" s="255" t="n">
        <v>6.9</v>
      </c>
      <c r="X289" s="250" t="n">
        <v>15</v>
      </c>
      <c r="Y289" s="256" t="n">
        <v>207</v>
      </c>
    </row>
    <row r="290" customFormat="false" ht="12.5" hidden="false" customHeight="true" outlineLevel="0" collapsed="false">
      <c r="A290" s="210" t="s">
        <v>1103</v>
      </c>
      <c r="B290" s="211" t="s">
        <v>1121</v>
      </c>
      <c r="C290" s="246" t="s">
        <v>1473</v>
      </c>
      <c r="D290" s="247" t="s">
        <v>1186</v>
      </c>
      <c r="E290" s="248"/>
      <c r="F290" s="248" t="n">
        <v>10710.01</v>
      </c>
      <c r="G290" s="249" t="n">
        <v>9184</v>
      </c>
      <c r="H290" s="249"/>
      <c r="I290" s="249" t="n">
        <v>9753.35</v>
      </c>
      <c r="J290" s="250" t="n">
        <v>569.35</v>
      </c>
      <c r="K290" s="249"/>
      <c r="L290" s="249"/>
      <c r="M290" s="249" t="n">
        <v>26.13</v>
      </c>
      <c r="N290" s="251" t="n">
        <v>-982.79</v>
      </c>
      <c r="O290" s="252" t="n">
        <v>-530.62</v>
      </c>
      <c r="P290" s="253" t="n">
        <v>-452</v>
      </c>
      <c r="Q290" s="220"/>
      <c r="R290" s="251" t="n">
        <v>6787</v>
      </c>
      <c r="S290" s="252"/>
      <c r="T290" s="254" t="n">
        <v>7.4</v>
      </c>
      <c r="U290" s="251" t="n">
        <v>5716</v>
      </c>
      <c r="V290" s="252" t="n">
        <v>5376</v>
      </c>
      <c r="W290" s="255" t="n">
        <v>7.3</v>
      </c>
      <c r="X290" s="250" t="n">
        <v>-1071</v>
      </c>
      <c r="Y290" s="256" t="n">
        <v>-1100</v>
      </c>
    </row>
    <row r="291" customFormat="false" ht="12.5" hidden="false" customHeight="true" outlineLevel="0" collapsed="false">
      <c r="A291" s="210" t="s">
        <v>20</v>
      </c>
      <c r="B291" s="211" t="s">
        <v>1121</v>
      </c>
      <c r="C291" s="235" t="n">
        <v>161</v>
      </c>
      <c r="D291" s="236" t="s">
        <v>1474</v>
      </c>
      <c r="E291" s="237"/>
      <c r="F291" s="237" t="n">
        <v>2461.97</v>
      </c>
      <c r="G291" s="238" t="n">
        <v>2675.36</v>
      </c>
      <c r="H291" s="238"/>
      <c r="I291" s="238" t="n">
        <v>2631.8</v>
      </c>
      <c r="J291" s="239" t="n">
        <v>-43.56</v>
      </c>
      <c r="K291" s="238"/>
      <c r="L291" s="238"/>
      <c r="M291" s="238" t="n">
        <v>4.75</v>
      </c>
      <c r="N291" s="240" t="n">
        <v>165.08</v>
      </c>
      <c r="O291" s="241" t="n">
        <v>39.59</v>
      </c>
      <c r="P291" s="242" t="n">
        <v>126</v>
      </c>
      <c r="Q291" s="220"/>
      <c r="R291" s="240" t="n">
        <v>652</v>
      </c>
      <c r="S291" s="241" t="n">
        <v>56</v>
      </c>
      <c r="T291" s="243"/>
      <c r="U291" s="240" t="n">
        <v>898</v>
      </c>
      <c r="V291" s="241"/>
      <c r="W291" s="244"/>
      <c r="X291" s="239" t="n">
        <v>246</v>
      </c>
      <c r="Y291" s="245" t="n">
        <v>83</v>
      </c>
    </row>
    <row r="292" customFormat="false" ht="12.5" hidden="false" customHeight="true" outlineLevel="0" collapsed="false">
      <c r="A292" s="210" t="s">
        <v>1103</v>
      </c>
      <c r="B292" s="211" t="s">
        <v>1121</v>
      </c>
      <c r="C292" s="246" t="s">
        <v>1475</v>
      </c>
      <c r="D292" s="247" t="s">
        <v>1151</v>
      </c>
      <c r="E292" s="248"/>
      <c r="F292" s="248" t="n">
        <v>42.08</v>
      </c>
      <c r="G292" s="249" t="n">
        <v>55.37</v>
      </c>
      <c r="H292" s="249"/>
      <c r="I292" s="249" t="n">
        <v>52.01</v>
      </c>
      <c r="J292" s="250" t="n">
        <v>-3.36</v>
      </c>
      <c r="K292" s="249"/>
      <c r="L292" s="249"/>
      <c r="M292" s="249" t="n">
        <v>4.49</v>
      </c>
      <c r="N292" s="251" t="n">
        <v>5.44</v>
      </c>
      <c r="O292" s="252" t="n">
        <v>-4.34</v>
      </c>
      <c r="P292" s="253" t="n">
        <v>10</v>
      </c>
      <c r="Q292" s="220"/>
      <c r="R292" s="251" t="n">
        <v>38</v>
      </c>
      <c r="S292" s="252" t="n">
        <v>1</v>
      </c>
      <c r="T292" s="254" t="n">
        <v>8</v>
      </c>
      <c r="U292" s="251" t="n">
        <v>53</v>
      </c>
      <c r="V292" s="252"/>
      <c r="W292" s="255" t="n">
        <v>7.2</v>
      </c>
      <c r="X292" s="250" t="n">
        <v>15</v>
      </c>
      <c r="Y292" s="256" t="n">
        <v>21</v>
      </c>
    </row>
    <row r="293" customFormat="false" ht="12.5" hidden="false" customHeight="true" outlineLevel="0" collapsed="false">
      <c r="A293" s="210" t="s">
        <v>1103</v>
      </c>
      <c r="B293" s="211" t="s">
        <v>1121</v>
      </c>
      <c r="C293" s="246" t="s">
        <v>1476</v>
      </c>
      <c r="D293" s="247" t="s">
        <v>1153</v>
      </c>
      <c r="E293" s="248"/>
      <c r="F293" s="248" t="n">
        <v>43.85</v>
      </c>
      <c r="G293" s="249" t="n">
        <v>36.41</v>
      </c>
      <c r="H293" s="249"/>
      <c r="I293" s="249" t="n">
        <v>39.03</v>
      </c>
      <c r="J293" s="250" t="n">
        <v>2.62</v>
      </c>
      <c r="K293" s="249"/>
      <c r="L293" s="249"/>
      <c r="M293" s="249" t="n">
        <v>-1.03</v>
      </c>
      <c r="N293" s="251" t="n">
        <v>-3.79</v>
      </c>
      <c r="O293" s="252" t="n">
        <v>-2.5</v>
      </c>
      <c r="P293" s="253" t="n">
        <v>-1</v>
      </c>
      <c r="Q293" s="220"/>
      <c r="R293" s="251" t="n">
        <v>31</v>
      </c>
      <c r="S293" s="252"/>
      <c r="T293" s="254" t="n">
        <v>7</v>
      </c>
      <c r="U293" s="251" t="n">
        <v>31</v>
      </c>
      <c r="V293" s="252"/>
      <c r="W293" s="255" t="n">
        <v>7.5</v>
      </c>
      <c r="X293" s="250"/>
      <c r="Y293" s="256" t="n">
        <v>6</v>
      </c>
    </row>
    <row r="294" customFormat="false" ht="12.5" hidden="false" customHeight="true" outlineLevel="0" collapsed="false">
      <c r="A294" s="210" t="s">
        <v>1103</v>
      </c>
      <c r="B294" s="211" t="s">
        <v>1121</v>
      </c>
      <c r="C294" s="246" t="s">
        <v>1477</v>
      </c>
      <c r="D294" s="247" t="s">
        <v>1155</v>
      </c>
      <c r="E294" s="248"/>
      <c r="F294" s="248" t="n">
        <v>47.63</v>
      </c>
      <c r="G294" s="249" t="n">
        <v>40.45</v>
      </c>
      <c r="H294" s="249"/>
      <c r="I294" s="249" t="n">
        <v>51.97</v>
      </c>
      <c r="J294" s="250" t="n">
        <v>11.52</v>
      </c>
      <c r="K294" s="249"/>
      <c r="L294" s="249"/>
      <c r="M294" s="249" t="n">
        <v>3.74</v>
      </c>
      <c r="N294" s="251" t="n">
        <v>0.599999999999996</v>
      </c>
      <c r="O294" s="252" t="n">
        <v>-1.73</v>
      </c>
      <c r="P294" s="253" t="n">
        <v>2</v>
      </c>
      <c r="Q294" s="220"/>
      <c r="R294" s="251" t="n">
        <v>12</v>
      </c>
      <c r="S294" s="252"/>
      <c r="T294" s="254" t="n">
        <v>7</v>
      </c>
      <c r="U294" s="251" t="n">
        <v>20</v>
      </c>
      <c r="V294" s="252"/>
      <c r="W294" s="255" t="n">
        <v>8</v>
      </c>
      <c r="X294" s="250" t="n">
        <v>8</v>
      </c>
      <c r="Y294" s="256" t="n">
        <v>1</v>
      </c>
    </row>
    <row r="295" customFormat="false" ht="12.5" hidden="false" customHeight="true" outlineLevel="0" collapsed="false">
      <c r="A295" s="210" t="s">
        <v>1103</v>
      </c>
      <c r="B295" s="211" t="s">
        <v>1121</v>
      </c>
      <c r="C295" s="246" t="s">
        <v>1478</v>
      </c>
      <c r="D295" s="247" t="s">
        <v>1157</v>
      </c>
      <c r="E295" s="248"/>
      <c r="F295" s="248" t="n">
        <v>500.03</v>
      </c>
      <c r="G295" s="249" t="n">
        <v>520.5</v>
      </c>
      <c r="H295" s="249"/>
      <c r="I295" s="249" t="n">
        <v>531.52</v>
      </c>
      <c r="J295" s="250" t="n">
        <v>11.02</v>
      </c>
      <c r="K295" s="249"/>
      <c r="L295" s="249"/>
      <c r="M295" s="249" t="n">
        <v>-1.08</v>
      </c>
      <c r="N295" s="251" t="n">
        <v>32.57</v>
      </c>
      <c r="O295" s="252" t="n">
        <v>12.61</v>
      </c>
      <c r="P295" s="253" t="n">
        <v>20</v>
      </c>
      <c r="Q295" s="220"/>
      <c r="R295" s="251" t="n">
        <v>76</v>
      </c>
      <c r="S295" s="252" t="n">
        <v>12</v>
      </c>
      <c r="T295" s="254" t="n">
        <v>7</v>
      </c>
      <c r="U295" s="251" t="n">
        <v>107</v>
      </c>
      <c r="V295" s="252"/>
      <c r="W295" s="255" t="n">
        <v>6.5</v>
      </c>
      <c r="X295" s="250" t="n">
        <v>31</v>
      </c>
      <c r="Y295" s="256" t="n">
        <v>25</v>
      </c>
    </row>
    <row r="296" customFormat="false" ht="12.5" hidden="false" customHeight="true" outlineLevel="0" collapsed="false">
      <c r="A296" s="210" t="s">
        <v>1103</v>
      </c>
      <c r="B296" s="211" t="s">
        <v>1121</v>
      </c>
      <c r="C296" s="246" t="s">
        <v>1479</v>
      </c>
      <c r="D296" s="247" t="s">
        <v>1425</v>
      </c>
      <c r="E296" s="248"/>
      <c r="F296" s="248" t="n">
        <v>1426.5</v>
      </c>
      <c r="G296" s="249" t="n">
        <v>1613.8</v>
      </c>
      <c r="H296" s="249"/>
      <c r="I296" s="249" t="n">
        <v>1559</v>
      </c>
      <c r="J296" s="250" t="n">
        <v>-54.8</v>
      </c>
      <c r="K296" s="249"/>
      <c r="L296" s="249"/>
      <c r="M296" s="249" t="n">
        <v>-4.64</v>
      </c>
      <c r="N296" s="251" t="n">
        <v>137.14</v>
      </c>
      <c r="O296" s="252" t="n">
        <v>36.09</v>
      </c>
      <c r="P296" s="253" t="n">
        <v>101</v>
      </c>
      <c r="Q296" s="220"/>
      <c r="R296" s="251" t="n">
        <v>477</v>
      </c>
      <c r="S296" s="252" t="n">
        <v>38</v>
      </c>
      <c r="T296" s="254" t="n">
        <v>7.5</v>
      </c>
      <c r="U296" s="251" t="n">
        <v>673</v>
      </c>
      <c r="V296" s="252"/>
      <c r="W296" s="255" t="n">
        <v>7.3</v>
      </c>
      <c r="X296" s="250" t="n">
        <v>196</v>
      </c>
      <c r="Y296" s="256" t="n">
        <v>34</v>
      </c>
    </row>
    <row r="297" customFormat="false" ht="12.5" hidden="false" customHeight="true" outlineLevel="0" collapsed="false">
      <c r="A297" s="210" t="s">
        <v>1103</v>
      </c>
      <c r="B297" s="211" t="s">
        <v>1121</v>
      </c>
      <c r="C297" s="246" t="s">
        <v>1480</v>
      </c>
      <c r="D297" s="247" t="s">
        <v>1172</v>
      </c>
      <c r="E297" s="248"/>
      <c r="F297" s="248" t="n">
        <v>50.88</v>
      </c>
      <c r="G297" s="249" t="n">
        <v>35.5</v>
      </c>
      <c r="H297" s="249"/>
      <c r="I297" s="249" t="n">
        <v>43.26</v>
      </c>
      <c r="J297" s="250" t="n">
        <v>7.76</v>
      </c>
      <c r="K297" s="249"/>
      <c r="L297" s="249"/>
      <c r="M297" s="249" t="n">
        <v>-1.8</v>
      </c>
      <c r="N297" s="251" t="n">
        <v>-5.82000000000001</v>
      </c>
      <c r="O297" s="252" t="n">
        <v>-1.4</v>
      </c>
      <c r="P297" s="253" t="n">
        <v>-4</v>
      </c>
      <c r="Q297" s="220"/>
      <c r="R297" s="251" t="n">
        <v>7</v>
      </c>
      <c r="S297" s="252" t="n">
        <v>5</v>
      </c>
      <c r="T297" s="254" t="n">
        <v>4</v>
      </c>
      <c r="U297" s="251" t="n">
        <v>1</v>
      </c>
      <c r="V297" s="252"/>
      <c r="W297" s="255" t="n">
        <v>3</v>
      </c>
      <c r="X297" s="250" t="n">
        <v>-6</v>
      </c>
      <c r="Y297" s="256" t="n">
        <v>-6</v>
      </c>
    </row>
    <row r="298" customFormat="false" ht="12.5" hidden="false" customHeight="true" outlineLevel="0" collapsed="false">
      <c r="A298" s="210" t="s">
        <v>1103</v>
      </c>
      <c r="B298" s="211" t="s">
        <v>1121</v>
      </c>
      <c r="C298" s="246" t="s">
        <v>1481</v>
      </c>
      <c r="D298" s="247" t="s">
        <v>1174</v>
      </c>
      <c r="E298" s="248"/>
      <c r="F298" s="248" t="n">
        <v>60.17</v>
      </c>
      <c r="G298" s="249" t="n">
        <v>78.83</v>
      </c>
      <c r="H298" s="249"/>
      <c r="I298" s="249" t="n">
        <v>60.31</v>
      </c>
      <c r="J298" s="250" t="n">
        <v>-18.52</v>
      </c>
      <c r="K298" s="249"/>
      <c r="L298" s="249"/>
      <c r="M298" s="249" t="n">
        <v>0.64</v>
      </c>
      <c r="N298" s="251" t="n">
        <v>-0.499999999999999</v>
      </c>
      <c r="O298" s="252" t="n">
        <v>-0.5</v>
      </c>
      <c r="P298" s="253"/>
      <c r="Q298" s="220"/>
      <c r="R298" s="251"/>
      <c r="S298" s="252"/>
      <c r="T298" s="254" t="n">
        <v>0</v>
      </c>
      <c r="U298" s="251"/>
      <c r="V298" s="252"/>
      <c r="W298" s="255" t="n">
        <v>0</v>
      </c>
      <c r="X298" s="250"/>
      <c r="Y298" s="256"/>
    </row>
    <row r="299" customFormat="false" ht="12.5" hidden="false" customHeight="true" outlineLevel="0" collapsed="false">
      <c r="A299" s="210" t="s">
        <v>1103</v>
      </c>
      <c r="B299" s="211" t="s">
        <v>1121</v>
      </c>
      <c r="C299" s="246" t="s">
        <v>1482</v>
      </c>
      <c r="D299" s="247" t="s">
        <v>1176</v>
      </c>
      <c r="E299" s="248"/>
      <c r="F299" s="248" t="n">
        <v>290.83</v>
      </c>
      <c r="G299" s="249" t="n">
        <v>294.5</v>
      </c>
      <c r="H299" s="249"/>
      <c r="I299" s="249" t="n">
        <v>294.7</v>
      </c>
      <c r="J299" s="250" t="n">
        <v>0.199999999999989</v>
      </c>
      <c r="K299" s="249"/>
      <c r="L299" s="249"/>
      <c r="M299" s="249" t="n">
        <v>4.43</v>
      </c>
      <c r="N299" s="251" t="n">
        <v>-0.559999999999995</v>
      </c>
      <c r="O299" s="252" t="n">
        <v>1.36</v>
      </c>
      <c r="P299" s="253" t="n">
        <v>-2</v>
      </c>
      <c r="Q299" s="220"/>
      <c r="R299" s="251" t="n">
        <v>11</v>
      </c>
      <c r="S299" s="252"/>
      <c r="T299" s="254" t="n">
        <v>5</v>
      </c>
      <c r="U299" s="251" t="n">
        <v>13</v>
      </c>
      <c r="V299" s="252"/>
      <c r="W299" s="255" t="n">
        <v>8</v>
      </c>
      <c r="X299" s="250" t="n">
        <v>2</v>
      </c>
      <c r="Y299" s="256" t="n">
        <v>2</v>
      </c>
    </row>
    <row r="300" customFormat="false" ht="12.5" hidden="false" customHeight="true" outlineLevel="0" collapsed="false">
      <c r="A300" s="210" t="s">
        <v>18</v>
      </c>
      <c r="B300" s="211" t="s">
        <v>1121</v>
      </c>
      <c r="C300" s="224" t="s">
        <v>1483</v>
      </c>
      <c r="D300" s="225" t="s">
        <v>1484</v>
      </c>
      <c r="E300" s="226" t="n">
        <v>16.35</v>
      </c>
      <c r="F300" s="226" t="n">
        <v>5070</v>
      </c>
      <c r="G300" s="227" t="n">
        <v>5073.57</v>
      </c>
      <c r="H300" s="227" t="n">
        <v>12.27</v>
      </c>
      <c r="I300" s="227" t="n">
        <v>5062</v>
      </c>
      <c r="J300" s="228" t="n">
        <v>-23.84</v>
      </c>
      <c r="K300" s="227"/>
      <c r="L300" s="227" t="n">
        <v>-7</v>
      </c>
      <c r="M300" s="227" t="n">
        <v>-51.62</v>
      </c>
      <c r="N300" s="229" t="n">
        <v>54.6999999999999</v>
      </c>
      <c r="O300" s="230" t="n">
        <v>16.99</v>
      </c>
      <c r="P300" s="231" t="n">
        <v>38</v>
      </c>
      <c r="Q300" s="220"/>
      <c r="R300" s="229" t="n">
        <v>928</v>
      </c>
      <c r="S300" s="230" t="n">
        <v>160</v>
      </c>
      <c r="T300" s="232"/>
      <c r="U300" s="229" t="n">
        <v>973</v>
      </c>
      <c r="V300" s="230" t="n">
        <v>144</v>
      </c>
      <c r="W300" s="233"/>
      <c r="X300" s="228" t="n">
        <v>45</v>
      </c>
      <c r="Y300" s="234" t="n">
        <v>68</v>
      </c>
    </row>
    <row r="301" customFormat="false" ht="12.5" hidden="false" customHeight="true" outlineLevel="0" collapsed="false">
      <c r="A301" s="210" t="s">
        <v>20</v>
      </c>
      <c r="B301" s="211" t="s">
        <v>1121</v>
      </c>
      <c r="C301" s="235" t="n">
        <v>124</v>
      </c>
      <c r="D301" s="236" t="s">
        <v>1485</v>
      </c>
      <c r="E301" s="237" t="n">
        <v>16.35</v>
      </c>
      <c r="F301" s="237" t="n">
        <v>5070</v>
      </c>
      <c r="G301" s="238" t="n">
        <v>5073.57</v>
      </c>
      <c r="H301" s="238" t="n">
        <v>12.27</v>
      </c>
      <c r="I301" s="238" t="n">
        <v>5062</v>
      </c>
      <c r="J301" s="239" t="n">
        <v>-23.84</v>
      </c>
      <c r="K301" s="238"/>
      <c r="L301" s="238" t="n">
        <v>-7</v>
      </c>
      <c r="M301" s="238" t="n">
        <v>-51.62</v>
      </c>
      <c r="N301" s="240" t="n">
        <v>54.6999999999999</v>
      </c>
      <c r="O301" s="241" t="n">
        <v>16.99</v>
      </c>
      <c r="P301" s="242" t="n">
        <v>38</v>
      </c>
      <c r="Q301" s="220"/>
      <c r="R301" s="240" t="n">
        <v>928</v>
      </c>
      <c r="S301" s="241" t="n">
        <v>160</v>
      </c>
      <c r="T301" s="243"/>
      <c r="U301" s="240" t="n">
        <v>973</v>
      </c>
      <c r="V301" s="241" t="n">
        <v>144</v>
      </c>
      <c r="W301" s="244"/>
      <c r="X301" s="239" t="n">
        <v>45</v>
      </c>
      <c r="Y301" s="245" t="n">
        <v>68</v>
      </c>
    </row>
    <row r="302" customFormat="false" ht="12.5" hidden="false" customHeight="true" outlineLevel="0" collapsed="false">
      <c r="A302" s="210" t="s">
        <v>1103</v>
      </c>
      <c r="B302" s="211" t="s">
        <v>1121</v>
      </c>
      <c r="C302" s="246" t="s">
        <v>1486</v>
      </c>
      <c r="D302" s="247" t="s">
        <v>1487</v>
      </c>
      <c r="E302" s="248" t="n">
        <v>-1</v>
      </c>
      <c r="F302" s="248" t="n">
        <v>103</v>
      </c>
      <c r="G302" s="249" t="n">
        <v>100.39</v>
      </c>
      <c r="H302" s="249"/>
      <c r="I302" s="249" t="n">
        <v>138</v>
      </c>
      <c r="J302" s="250" t="n">
        <v>37.61</v>
      </c>
      <c r="K302" s="249"/>
      <c r="L302" s="249"/>
      <c r="M302" s="249" t="n">
        <v>33.76</v>
      </c>
      <c r="N302" s="251" t="n">
        <v>0.240000000000002</v>
      </c>
      <c r="O302" s="252" t="n">
        <v>0.04</v>
      </c>
      <c r="P302" s="253"/>
      <c r="Q302" s="220"/>
      <c r="R302" s="251" t="n">
        <v>12</v>
      </c>
      <c r="S302" s="252" t="n">
        <v>4</v>
      </c>
      <c r="T302" s="254" t="n">
        <v>8.4</v>
      </c>
      <c r="U302" s="251" t="n">
        <v>9</v>
      </c>
      <c r="V302" s="252"/>
      <c r="W302" s="255" t="n">
        <v>6.6</v>
      </c>
      <c r="X302" s="250" t="n">
        <v>-3</v>
      </c>
      <c r="Y302" s="256"/>
    </row>
    <row r="303" customFormat="false" ht="12.5" hidden="false" customHeight="true" outlineLevel="0" collapsed="false">
      <c r="A303" s="210" t="s">
        <v>1103</v>
      </c>
      <c r="B303" s="211" t="s">
        <v>1121</v>
      </c>
      <c r="C303" s="246" t="s">
        <v>1488</v>
      </c>
      <c r="D303" s="247" t="s">
        <v>1489</v>
      </c>
      <c r="E303" s="248" t="n">
        <v>10.35</v>
      </c>
      <c r="F303" s="248" t="n">
        <v>2160</v>
      </c>
      <c r="G303" s="249" t="n">
        <v>2323.3</v>
      </c>
      <c r="H303" s="249" t="n">
        <v>11.87</v>
      </c>
      <c r="I303" s="249" t="n">
        <v>2190</v>
      </c>
      <c r="J303" s="250" t="n">
        <v>-145.17</v>
      </c>
      <c r="K303" s="249"/>
      <c r="L303" s="249" t="n">
        <v>-7</v>
      </c>
      <c r="M303" s="249" t="n">
        <v>-67.58</v>
      </c>
      <c r="N303" s="251" t="n">
        <v>103.06</v>
      </c>
      <c r="O303" s="252" t="n">
        <v>57.23</v>
      </c>
      <c r="P303" s="253" t="n">
        <v>46</v>
      </c>
      <c r="Q303" s="220"/>
      <c r="R303" s="251" t="n">
        <v>444</v>
      </c>
      <c r="S303" s="252" t="n">
        <v>48</v>
      </c>
      <c r="T303" s="254" t="n">
        <v>6.7</v>
      </c>
      <c r="U303" s="251" t="n">
        <v>523</v>
      </c>
      <c r="V303" s="252" t="n">
        <v>47</v>
      </c>
      <c r="W303" s="255" t="n">
        <v>6.6</v>
      </c>
      <c r="X303" s="250" t="n">
        <v>79</v>
      </c>
      <c r="Y303" s="256" t="n">
        <v>114</v>
      </c>
    </row>
    <row r="304" customFormat="false" ht="12.5" hidden="false" customHeight="true" outlineLevel="0" collapsed="false">
      <c r="A304" s="210" t="s">
        <v>1103</v>
      </c>
      <c r="B304" s="211" t="s">
        <v>1121</v>
      </c>
      <c r="C304" s="246" t="s">
        <v>1490</v>
      </c>
      <c r="D304" s="247" t="s">
        <v>1491</v>
      </c>
      <c r="E304" s="248" t="n">
        <v>7</v>
      </c>
      <c r="F304" s="248" t="n">
        <v>815</v>
      </c>
      <c r="G304" s="249" t="n">
        <v>678.9</v>
      </c>
      <c r="H304" s="249" t="n">
        <v>2</v>
      </c>
      <c r="I304" s="249" t="n">
        <v>817</v>
      </c>
      <c r="J304" s="250" t="n">
        <v>136.1</v>
      </c>
      <c r="K304" s="249"/>
      <c r="L304" s="249"/>
      <c r="M304" s="249" t="n">
        <v>6.99</v>
      </c>
      <c r="N304" s="251" t="n">
        <v>0.00999999999999979</v>
      </c>
      <c r="O304" s="252" t="n">
        <v>-35.57</v>
      </c>
      <c r="P304" s="253" t="n">
        <v>36</v>
      </c>
      <c r="Q304" s="220"/>
      <c r="R304" s="251" t="n">
        <v>96</v>
      </c>
      <c r="S304" s="252" t="n">
        <v>26</v>
      </c>
      <c r="T304" s="254" t="n">
        <v>7</v>
      </c>
      <c r="U304" s="251" t="n">
        <v>118</v>
      </c>
      <c r="V304" s="252" t="n">
        <v>50</v>
      </c>
      <c r="W304" s="255" t="n">
        <v>4.5</v>
      </c>
      <c r="X304" s="250" t="n">
        <v>22</v>
      </c>
      <c r="Y304" s="256" t="n">
        <v>-16.9</v>
      </c>
    </row>
    <row r="305" customFormat="false" ht="12.5" hidden="false" customHeight="true" outlineLevel="0" collapsed="false">
      <c r="A305" s="210" t="s">
        <v>1103</v>
      </c>
      <c r="B305" s="211" t="s">
        <v>1121</v>
      </c>
      <c r="C305" s="246" t="s">
        <v>1492</v>
      </c>
      <c r="D305" s="247" t="s">
        <v>1493</v>
      </c>
      <c r="E305" s="248"/>
      <c r="F305" s="248" t="n">
        <v>1234</v>
      </c>
      <c r="G305" s="249" t="n">
        <v>1127.86</v>
      </c>
      <c r="H305" s="249" t="n">
        <v>-0.3</v>
      </c>
      <c r="I305" s="249" t="n">
        <v>1257</v>
      </c>
      <c r="J305" s="250" t="n">
        <v>129.44</v>
      </c>
      <c r="K305" s="249"/>
      <c r="L305" s="249"/>
      <c r="M305" s="249" t="n">
        <v>9.24</v>
      </c>
      <c r="N305" s="251" t="n">
        <v>14.06</v>
      </c>
      <c r="O305" s="252" t="n">
        <v>3.79</v>
      </c>
      <c r="P305" s="253" t="n">
        <v>10</v>
      </c>
      <c r="Q305" s="220"/>
      <c r="R305" s="251" t="n">
        <v>240</v>
      </c>
      <c r="S305" s="252" t="n">
        <v>41</v>
      </c>
      <c r="T305" s="254" t="n">
        <v>6.5</v>
      </c>
      <c r="U305" s="251" t="n">
        <v>263</v>
      </c>
      <c r="V305" s="252" t="n">
        <v>47</v>
      </c>
      <c r="W305" s="255" t="n">
        <v>6.6</v>
      </c>
      <c r="X305" s="250" t="n">
        <v>23</v>
      </c>
      <c r="Y305" s="256" t="n">
        <v>15</v>
      </c>
    </row>
    <row r="306" customFormat="false" ht="12.5" hidden="false" customHeight="true" outlineLevel="0" collapsed="false">
      <c r="A306" s="210" t="s">
        <v>1103</v>
      </c>
      <c r="B306" s="211" t="s">
        <v>1121</v>
      </c>
      <c r="C306" s="246" t="s">
        <v>1494</v>
      </c>
      <c r="D306" s="247" t="s">
        <v>1062</v>
      </c>
      <c r="E306" s="248"/>
      <c r="F306" s="248" t="n">
        <v>758</v>
      </c>
      <c r="G306" s="249" t="n">
        <v>843.12</v>
      </c>
      <c r="H306" s="249" t="n">
        <v>-1.3</v>
      </c>
      <c r="I306" s="249" t="n">
        <v>660</v>
      </c>
      <c r="J306" s="250" t="n">
        <v>-181.82</v>
      </c>
      <c r="K306" s="249"/>
      <c r="L306" s="249"/>
      <c r="M306" s="249" t="n">
        <v>-34.03</v>
      </c>
      <c r="N306" s="251" t="n">
        <v>-62.67</v>
      </c>
      <c r="O306" s="252" t="n">
        <v>-8.5</v>
      </c>
      <c r="P306" s="253" t="n">
        <v>-54</v>
      </c>
      <c r="Q306" s="220"/>
      <c r="R306" s="251" t="n">
        <v>136</v>
      </c>
      <c r="S306" s="252" t="n">
        <v>41</v>
      </c>
      <c r="T306" s="254" t="n">
        <v>5</v>
      </c>
      <c r="U306" s="251" t="n">
        <v>60</v>
      </c>
      <c r="V306" s="252"/>
      <c r="W306" s="255" t="n">
        <v>5.7</v>
      </c>
      <c r="X306" s="250" t="n">
        <v>-76</v>
      </c>
      <c r="Y306" s="256" t="n">
        <v>-44.1</v>
      </c>
    </row>
    <row r="307" customFormat="false" ht="12.5" hidden="false" customHeight="true" outlineLevel="0" collapsed="false">
      <c r="A307" s="210" t="s">
        <v>18</v>
      </c>
      <c r="B307" s="211" t="s">
        <v>1121</v>
      </c>
      <c r="C307" s="224" t="s">
        <v>1495</v>
      </c>
      <c r="D307" s="225" t="s">
        <v>1496</v>
      </c>
      <c r="E307" s="226"/>
      <c r="F307" s="226" t="n">
        <v>1760.37</v>
      </c>
      <c r="G307" s="227" t="n">
        <v>2301</v>
      </c>
      <c r="H307" s="227"/>
      <c r="I307" s="227" t="n">
        <v>1765.52</v>
      </c>
      <c r="J307" s="228" t="n">
        <v>-535.48</v>
      </c>
      <c r="K307" s="227"/>
      <c r="L307" s="227"/>
      <c r="M307" s="227" t="n">
        <v>17.03</v>
      </c>
      <c r="N307" s="229" t="n">
        <v>-11.88</v>
      </c>
      <c r="O307" s="230" t="n">
        <v>-319.13</v>
      </c>
      <c r="P307" s="231" t="n">
        <v>307</v>
      </c>
      <c r="Q307" s="220"/>
      <c r="R307" s="229" t="n">
        <v>5489</v>
      </c>
      <c r="S307" s="230" t="n">
        <v>39</v>
      </c>
      <c r="T307" s="232"/>
      <c r="U307" s="229" t="n">
        <v>5488</v>
      </c>
      <c r="V307" s="230" t="n">
        <v>22</v>
      </c>
      <c r="W307" s="233"/>
      <c r="X307" s="228" t="n">
        <v>-1</v>
      </c>
      <c r="Y307" s="234"/>
    </row>
    <row r="308" customFormat="false" ht="12.5" hidden="false" customHeight="true" outlineLevel="0" collapsed="false">
      <c r="A308" s="210" t="s">
        <v>20</v>
      </c>
      <c r="B308" s="211" t="s">
        <v>1121</v>
      </c>
      <c r="C308" s="235" t="n">
        <v>219</v>
      </c>
      <c r="D308" s="236" t="s">
        <v>1497</v>
      </c>
      <c r="E308" s="237"/>
      <c r="F308" s="237" t="n">
        <v>1428.41</v>
      </c>
      <c r="G308" s="238" t="n">
        <v>1442</v>
      </c>
      <c r="H308" s="238"/>
      <c r="I308" s="238" t="n">
        <v>1436.46</v>
      </c>
      <c r="J308" s="239" t="n">
        <v>-5.53999999999996</v>
      </c>
      <c r="K308" s="238"/>
      <c r="L308" s="238"/>
      <c r="M308" s="238" t="n">
        <v>-2.22</v>
      </c>
      <c r="N308" s="240" t="n">
        <v>10.27</v>
      </c>
      <c r="O308" s="241" t="n">
        <v>12.83</v>
      </c>
      <c r="P308" s="242" t="n">
        <v>-3</v>
      </c>
      <c r="Q308" s="220"/>
      <c r="R308" s="240" t="n">
        <v>101</v>
      </c>
      <c r="S308" s="241" t="n">
        <v>39</v>
      </c>
      <c r="T308" s="243"/>
      <c r="U308" s="240" t="n">
        <v>100</v>
      </c>
      <c r="V308" s="241" t="n">
        <v>22</v>
      </c>
      <c r="W308" s="244"/>
      <c r="X308" s="239" t="n">
        <v>-1</v>
      </c>
      <c r="Y308" s="245"/>
    </row>
    <row r="309" customFormat="false" ht="12.5" hidden="false" customHeight="true" outlineLevel="0" collapsed="false">
      <c r="A309" s="210" t="s">
        <v>1103</v>
      </c>
      <c r="B309" s="211" t="s">
        <v>1121</v>
      </c>
      <c r="C309" s="246" t="s">
        <v>1498</v>
      </c>
      <c r="D309" s="247" t="s">
        <v>1357</v>
      </c>
      <c r="E309" s="248"/>
      <c r="F309" s="248" t="n">
        <v>1428.41</v>
      </c>
      <c r="G309" s="249" t="n">
        <v>1442</v>
      </c>
      <c r="H309" s="249"/>
      <c r="I309" s="249" t="n">
        <v>1436.46</v>
      </c>
      <c r="J309" s="250" t="n">
        <v>-5.53999999999996</v>
      </c>
      <c r="K309" s="249"/>
      <c r="L309" s="249"/>
      <c r="M309" s="249" t="n">
        <v>-2.22</v>
      </c>
      <c r="N309" s="251" t="n">
        <v>10.27</v>
      </c>
      <c r="O309" s="252" t="n">
        <v>12.83</v>
      </c>
      <c r="P309" s="253" t="n">
        <v>-3</v>
      </c>
      <c r="Q309" s="220"/>
      <c r="R309" s="251" t="n">
        <v>101</v>
      </c>
      <c r="S309" s="252" t="n">
        <v>39</v>
      </c>
      <c r="T309" s="254" t="n">
        <v>7.27</v>
      </c>
      <c r="U309" s="251" t="n">
        <v>100</v>
      </c>
      <c r="V309" s="252" t="n">
        <v>22</v>
      </c>
      <c r="W309" s="255" t="n">
        <v>7.52</v>
      </c>
      <c r="X309" s="250" t="n">
        <v>-1</v>
      </c>
      <c r="Y309" s="256"/>
    </row>
    <row r="310" customFormat="false" ht="12.5" hidden="false" customHeight="true" outlineLevel="0" collapsed="false">
      <c r="A310" s="210" t="s">
        <v>20</v>
      </c>
      <c r="B310" s="211" t="s">
        <v>1121</v>
      </c>
      <c r="C310" s="235" t="n">
        <v>163</v>
      </c>
      <c r="D310" s="236" t="s">
        <v>1499</v>
      </c>
      <c r="E310" s="237"/>
      <c r="F310" s="237" t="n">
        <v>331.96</v>
      </c>
      <c r="G310" s="238" t="n">
        <v>859</v>
      </c>
      <c r="H310" s="238"/>
      <c r="I310" s="238" t="n">
        <v>329.06</v>
      </c>
      <c r="J310" s="239" t="n">
        <v>-529.94</v>
      </c>
      <c r="K310" s="238"/>
      <c r="L310" s="238"/>
      <c r="M310" s="238" t="n">
        <v>19.25</v>
      </c>
      <c r="N310" s="240" t="n">
        <v>-22.15</v>
      </c>
      <c r="O310" s="241" t="n">
        <v>-331.96</v>
      </c>
      <c r="P310" s="242" t="n">
        <v>310</v>
      </c>
      <c r="Q310" s="220"/>
      <c r="R310" s="240" t="n">
        <v>5388</v>
      </c>
      <c r="S310" s="241"/>
      <c r="T310" s="243"/>
      <c r="U310" s="240" t="n">
        <v>5388</v>
      </c>
      <c r="V310" s="241"/>
      <c r="W310" s="244"/>
      <c r="X310" s="239"/>
      <c r="Y310" s="245"/>
    </row>
    <row r="311" customFormat="false" ht="12.5" hidden="false" customHeight="true" outlineLevel="0" collapsed="false">
      <c r="A311" s="210" t="s">
        <v>1103</v>
      </c>
      <c r="B311" s="211" t="s">
        <v>1121</v>
      </c>
      <c r="C311" s="246" t="s">
        <v>1500</v>
      </c>
      <c r="D311" s="247" t="s">
        <v>1357</v>
      </c>
      <c r="E311" s="248"/>
      <c r="F311" s="248" t="n">
        <v>331.96</v>
      </c>
      <c r="G311" s="249" t="n">
        <v>859</v>
      </c>
      <c r="H311" s="249"/>
      <c r="I311" s="249" t="n">
        <v>329.06</v>
      </c>
      <c r="J311" s="250" t="n">
        <v>-529.94</v>
      </c>
      <c r="K311" s="249"/>
      <c r="L311" s="249"/>
      <c r="M311" s="249" t="n">
        <v>19.25</v>
      </c>
      <c r="N311" s="251" t="n">
        <v>-22.15</v>
      </c>
      <c r="O311" s="252" t="n">
        <v>-331.96</v>
      </c>
      <c r="P311" s="253" t="n">
        <v>310</v>
      </c>
      <c r="Q311" s="220"/>
      <c r="R311" s="251" t="n">
        <v>5388</v>
      </c>
      <c r="S311" s="252"/>
      <c r="T311" s="254" t="n">
        <v>6.69</v>
      </c>
      <c r="U311" s="251" t="n">
        <v>5388</v>
      </c>
      <c r="V311" s="252"/>
      <c r="W311" s="255" t="n">
        <v>6</v>
      </c>
      <c r="X311" s="250"/>
      <c r="Y311" s="256"/>
    </row>
    <row r="312" customFormat="false" ht="12.5" hidden="false" customHeight="true" outlineLevel="0" collapsed="false">
      <c r="A312" s="210" t="s">
        <v>18</v>
      </c>
      <c r="B312" s="211" t="s">
        <v>1121</v>
      </c>
      <c r="C312" s="224" t="s">
        <v>1501</v>
      </c>
      <c r="D312" s="225" t="s">
        <v>1502</v>
      </c>
      <c r="E312" s="226"/>
      <c r="F312" s="226" t="n">
        <v>432.55</v>
      </c>
      <c r="G312" s="227" t="n">
        <v>514</v>
      </c>
      <c r="H312" s="227" t="n">
        <v>3.75</v>
      </c>
      <c r="I312" s="227" t="n">
        <v>474.45</v>
      </c>
      <c r="J312" s="228" t="n">
        <v>-43.3</v>
      </c>
      <c r="K312" s="227"/>
      <c r="L312" s="227"/>
      <c r="M312" s="227" t="n">
        <v>-1.06</v>
      </c>
      <c r="N312" s="229" t="n">
        <v>39.21</v>
      </c>
      <c r="O312" s="230" t="n">
        <v>22.04</v>
      </c>
      <c r="P312" s="231" t="n">
        <v>17</v>
      </c>
      <c r="Q312" s="220"/>
      <c r="R312" s="229" t="n">
        <v>106.6</v>
      </c>
      <c r="S312" s="230" t="n">
        <v>7.9</v>
      </c>
      <c r="T312" s="232"/>
      <c r="U312" s="229" t="n">
        <v>156.8</v>
      </c>
      <c r="V312" s="230" t="n">
        <v>115.4</v>
      </c>
      <c r="W312" s="233"/>
      <c r="X312" s="228" t="n">
        <v>50.2</v>
      </c>
      <c r="Y312" s="234" t="n">
        <v>48</v>
      </c>
    </row>
    <row r="313" customFormat="false" ht="12.5" hidden="false" customHeight="true" outlineLevel="0" collapsed="false">
      <c r="A313" s="210" t="s">
        <v>20</v>
      </c>
      <c r="B313" s="211" t="s">
        <v>1121</v>
      </c>
      <c r="C313" s="235" t="n">
        <v>368</v>
      </c>
      <c r="D313" s="236" t="s">
        <v>1503</v>
      </c>
      <c r="E313" s="237"/>
      <c r="F313" s="237" t="n">
        <v>432.55</v>
      </c>
      <c r="G313" s="238" t="n">
        <v>514</v>
      </c>
      <c r="H313" s="238" t="n">
        <v>3.75</v>
      </c>
      <c r="I313" s="238" t="n">
        <v>474.45</v>
      </c>
      <c r="J313" s="239" t="n">
        <v>-43.3</v>
      </c>
      <c r="K313" s="238"/>
      <c r="L313" s="238"/>
      <c r="M313" s="238" t="n">
        <v>-1.06</v>
      </c>
      <c r="N313" s="240" t="n">
        <v>39.21</v>
      </c>
      <c r="O313" s="241" t="n">
        <v>22.04</v>
      </c>
      <c r="P313" s="242" t="n">
        <v>17</v>
      </c>
      <c r="Q313" s="220"/>
      <c r="R313" s="240" t="n">
        <v>106.6</v>
      </c>
      <c r="S313" s="241" t="n">
        <v>7.9</v>
      </c>
      <c r="T313" s="243"/>
      <c r="U313" s="240" t="n">
        <v>156.8</v>
      </c>
      <c r="V313" s="241" t="n">
        <v>115.4</v>
      </c>
      <c r="W313" s="244"/>
      <c r="X313" s="239" t="n">
        <v>50.2</v>
      </c>
      <c r="Y313" s="245" t="n">
        <v>48</v>
      </c>
    </row>
    <row r="314" customFormat="false" ht="12.5" hidden="false" customHeight="true" outlineLevel="0" collapsed="false">
      <c r="A314" s="210" t="s">
        <v>1103</v>
      </c>
      <c r="B314" s="211" t="s">
        <v>1121</v>
      </c>
      <c r="C314" s="246" t="s">
        <v>1504</v>
      </c>
      <c r="D314" s="247" t="s">
        <v>1116</v>
      </c>
      <c r="E314" s="248"/>
      <c r="F314" s="248" t="n">
        <v>73.42</v>
      </c>
      <c r="G314" s="249" t="n">
        <v>101.91</v>
      </c>
      <c r="H314" s="249" t="n">
        <v>0.92</v>
      </c>
      <c r="I314" s="249" t="n">
        <v>85.28</v>
      </c>
      <c r="J314" s="250" t="n">
        <v>-17.55</v>
      </c>
      <c r="K314" s="249"/>
      <c r="L314" s="249"/>
      <c r="M314" s="249" t="n">
        <v>0.29</v>
      </c>
      <c r="N314" s="251" t="n">
        <v>10.65</v>
      </c>
      <c r="O314" s="252" t="n">
        <v>-0.77</v>
      </c>
      <c r="P314" s="253" t="n">
        <v>11</v>
      </c>
      <c r="Q314" s="220"/>
      <c r="R314" s="251" t="n">
        <v>19</v>
      </c>
      <c r="S314" s="252" t="n">
        <v>1</v>
      </c>
      <c r="T314" s="254" t="n">
        <v>6.68</v>
      </c>
      <c r="U314" s="251" t="n">
        <v>41.8</v>
      </c>
      <c r="V314" s="252" t="n">
        <v>29.6</v>
      </c>
      <c r="W314" s="255" t="n">
        <v>6.85</v>
      </c>
      <c r="X314" s="250" t="n">
        <v>22.8</v>
      </c>
      <c r="Y314" s="256" t="n">
        <v>20</v>
      </c>
    </row>
    <row r="315" customFormat="false" ht="12.5" hidden="false" customHeight="true" outlineLevel="0" collapsed="false">
      <c r="A315" s="210" t="s">
        <v>1103</v>
      </c>
      <c r="B315" s="211" t="s">
        <v>1121</v>
      </c>
      <c r="C315" s="246" t="s">
        <v>1505</v>
      </c>
      <c r="D315" s="247" t="s">
        <v>1060</v>
      </c>
      <c r="E315" s="248"/>
      <c r="F315" s="248" t="n">
        <v>311.88</v>
      </c>
      <c r="G315" s="249" t="n">
        <v>369.08</v>
      </c>
      <c r="H315" s="249" t="n">
        <v>2.83</v>
      </c>
      <c r="I315" s="249" t="n">
        <v>344.18</v>
      </c>
      <c r="J315" s="250" t="n">
        <v>-27.73</v>
      </c>
      <c r="K315" s="249"/>
      <c r="L315" s="249"/>
      <c r="M315" s="249" t="n">
        <v>-0.56</v>
      </c>
      <c r="N315" s="251" t="n">
        <v>30.03</v>
      </c>
      <c r="O315" s="252" t="n">
        <v>23.03</v>
      </c>
      <c r="P315" s="253" t="n">
        <v>7</v>
      </c>
      <c r="Q315" s="220"/>
      <c r="R315" s="251" t="n">
        <v>72.6</v>
      </c>
      <c r="S315" s="252" t="n">
        <v>5.9</v>
      </c>
      <c r="T315" s="254" t="n">
        <v>6.68</v>
      </c>
      <c r="U315" s="251" t="n">
        <v>103.8</v>
      </c>
      <c r="V315" s="252" t="n">
        <v>77.8</v>
      </c>
      <c r="W315" s="255" t="n">
        <v>7.77</v>
      </c>
      <c r="X315" s="250" t="n">
        <v>31.2</v>
      </c>
      <c r="Y315" s="256" t="n">
        <v>37</v>
      </c>
    </row>
    <row r="316" customFormat="false" ht="12.5" hidden="false" customHeight="true" outlineLevel="0" collapsed="false">
      <c r="A316" s="210" t="s">
        <v>1103</v>
      </c>
      <c r="B316" s="211" t="s">
        <v>1121</v>
      </c>
      <c r="C316" s="246" t="s">
        <v>1506</v>
      </c>
      <c r="D316" s="247" t="s">
        <v>1061</v>
      </c>
      <c r="E316" s="248"/>
      <c r="F316" s="248" t="n">
        <v>40.25</v>
      </c>
      <c r="G316" s="249" t="n">
        <v>31.01</v>
      </c>
      <c r="H316" s="249"/>
      <c r="I316" s="249" t="n">
        <v>40.32</v>
      </c>
      <c r="J316" s="250" t="n">
        <v>9.31</v>
      </c>
      <c r="K316" s="249"/>
      <c r="L316" s="249"/>
      <c r="M316" s="249" t="n">
        <v>0.53</v>
      </c>
      <c r="N316" s="251" t="n">
        <v>-0.46</v>
      </c>
      <c r="O316" s="252" t="n">
        <v>1.37</v>
      </c>
      <c r="P316" s="253" t="n">
        <v>-2</v>
      </c>
      <c r="Q316" s="220"/>
      <c r="R316" s="251" t="n">
        <v>13</v>
      </c>
      <c r="S316" s="252" t="n">
        <v>1</v>
      </c>
      <c r="T316" s="254" t="n">
        <v>7</v>
      </c>
      <c r="U316" s="251" t="n">
        <v>9.2</v>
      </c>
      <c r="V316" s="252" t="n">
        <v>7</v>
      </c>
      <c r="W316" s="255" t="n">
        <v>6.91</v>
      </c>
      <c r="X316" s="250" t="n">
        <v>-3.8</v>
      </c>
      <c r="Y316" s="256" t="n">
        <v>-9</v>
      </c>
    </row>
    <row r="317" customFormat="false" ht="12.5" hidden="false" customHeight="true" outlineLevel="0" collapsed="false">
      <c r="A317" s="210" t="s">
        <v>1103</v>
      </c>
      <c r="B317" s="211" t="s">
        <v>1121</v>
      </c>
      <c r="C317" s="246" t="s">
        <v>1507</v>
      </c>
      <c r="D317" s="247" t="s">
        <v>1062</v>
      </c>
      <c r="E317" s="248"/>
      <c r="F317" s="248" t="n">
        <v>7</v>
      </c>
      <c r="G317" s="249" t="n">
        <v>12</v>
      </c>
      <c r="H317" s="249"/>
      <c r="I317" s="249" t="n">
        <v>4.67</v>
      </c>
      <c r="J317" s="250" t="n">
        <v>-7.33</v>
      </c>
      <c r="K317" s="249"/>
      <c r="L317" s="249"/>
      <c r="M317" s="249" t="n">
        <v>-1.32</v>
      </c>
      <c r="N317" s="251" t="n">
        <v>-1.01</v>
      </c>
      <c r="O317" s="252" t="n">
        <v>-1.59</v>
      </c>
      <c r="P317" s="253" t="n">
        <v>1</v>
      </c>
      <c r="Q317" s="220"/>
      <c r="R317" s="251" t="n">
        <v>2</v>
      </c>
      <c r="S317" s="252"/>
      <c r="T317" s="254" t="n">
        <v>8</v>
      </c>
      <c r="U317" s="251" t="n">
        <v>2</v>
      </c>
      <c r="V317" s="252" t="n">
        <v>1</v>
      </c>
      <c r="W317" s="255" t="n">
        <v>4.5</v>
      </c>
      <c r="X317" s="250"/>
      <c r="Y317" s="256"/>
    </row>
    <row r="318" customFormat="false" ht="12.5" hidden="false" customHeight="true" outlineLevel="0" collapsed="false">
      <c r="A318" s="210" t="s">
        <v>18</v>
      </c>
      <c r="B318" s="211" t="s">
        <v>1121</v>
      </c>
      <c r="C318" s="224" t="s">
        <v>1508</v>
      </c>
      <c r="D318" s="225" t="s">
        <v>1509</v>
      </c>
      <c r="E318" s="226" t="n">
        <v>8</v>
      </c>
      <c r="F318" s="226" t="n">
        <v>7717</v>
      </c>
      <c r="G318" s="227" t="n">
        <v>7787.32</v>
      </c>
      <c r="H318" s="227" t="n">
        <v>6.5</v>
      </c>
      <c r="I318" s="227" t="n">
        <v>7730</v>
      </c>
      <c r="J318" s="228" t="n">
        <v>-63.82</v>
      </c>
      <c r="K318" s="227"/>
      <c r="L318" s="227"/>
      <c r="M318" s="227" t="n">
        <v>-40.91</v>
      </c>
      <c r="N318" s="229" t="n">
        <v>55.41</v>
      </c>
      <c r="O318" s="230" t="n">
        <v>16.86</v>
      </c>
      <c r="P318" s="231" t="n">
        <v>38</v>
      </c>
      <c r="Q318" s="220"/>
      <c r="R318" s="229" t="n">
        <v>1063</v>
      </c>
      <c r="S318" s="230" t="n">
        <v>300.6</v>
      </c>
      <c r="T318" s="232"/>
      <c r="U318" s="229" t="n">
        <v>940</v>
      </c>
      <c r="V318" s="230" t="n">
        <v>215</v>
      </c>
      <c r="W318" s="233"/>
      <c r="X318" s="228" t="n">
        <v>-123</v>
      </c>
      <c r="Y318" s="234" t="n">
        <v>7</v>
      </c>
    </row>
    <row r="319" customFormat="false" ht="12.5" hidden="false" customHeight="true" outlineLevel="0" collapsed="false">
      <c r="A319" s="210" t="s">
        <v>20</v>
      </c>
      <c r="B319" s="211" t="s">
        <v>1121</v>
      </c>
      <c r="C319" s="235" t="n">
        <v>155</v>
      </c>
      <c r="D319" s="236" t="s">
        <v>1510</v>
      </c>
      <c r="E319" s="237" t="n">
        <v>8</v>
      </c>
      <c r="F319" s="237" t="n">
        <v>7717</v>
      </c>
      <c r="G319" s="238" t="n">
        <v>7787.32</v>
      </c>
      <c r="H319" s="238" t="n">
        <v>6.5</v>
      </c>
      <c r="I319" s="238" t="n">
        <v>7730</v>
      </c>
      <c r="J319" s="239" t="n">
        <v>-63.82</v>
      </c>
      <c r="K319" s="238"/>
      <c r="L319" s="238"/>
      <c r="M319" s="238" t="n">
        <v>-40.91</v>
      </c>
      <c r="N319" s="240" t="n">
        <v>55.41</v>
      </c>
      <c r="O319" s="241" t="n">
        <v>16.86</v>
      </c>
      <c r="P319" s="242" t="n">
        <v>38</v>
      </c>
      <c r="Q319" s="220"/>
      <c r="R319" s="240" t="n">
        <v>1063</v>
      </c>
      <c r="S319" s="241" t="n">
        <v>300.6</v>
      </c>
      <c r="T319" s="243"/>
      <c r="U319" s="240" t="n">
        <v>940</v>
      </c>
      <c r="V319" s="241" t="n">
        <v>215</v>
      </c>
      <c r="W319" s="244"/>
      <c r="X319" s="239" t="n">
        <v>-123</v>
      </c>
      <c r="Y319" s="245" t="n">
        <v>7</v>
      </c>
    </row>
    <row r="320" customFormat="false" ht="12.5" hidden="false" customHeight="true" outlineLevel="0" collapsed="false">
      <c r="A320" s="210" t="s">
        <v>1103</v>
      </c>
      <c r="B320" s="211" t="s">
        <v>1121</v>
      </c>
      <c r="C320" s="246" t="s">
        <v>1511</v>
      </c>
      <c r="D320" s="247" t="s">
        <v>1487</v>
      </c>
      <c r="E320" s="248"/>
      <c r="F320" s="248" t="n">
        <v>74</v>
      </c>
      <c r="G320" s="249" t="n">
        <v>72.05</v>
      </c>
      <c r="H320" s="249"/>
      <c r="I320" s="249" t="n">
        <v>79</v>
      </c>
      <c r="J320" s="250" t="n">
        <v>6.95</v>
      </c>
      <c r="K320" s="249"/>
      <c r="L320" s="249"/>
      <c r="M320" s="249" t="n">
        <v>1.83</v>
      </c>
      <c r="N320" s="251" t="n">
        <v>3.17</v>
      </c>
      <c r="O320" s="252" t="n">
        <v>1.9</v>
      </c>
      <c r="P320" s="253" t="n">
        <v>1</v>
      </c>
      <c r="Q320" s="220"/>
      <c r="R320" s="251" t="n">
        <v>13</v>
      </c>
      <c r="S320" s="252" t="n">
        <v>3</v>
      </c>
      <c r="T320" s="254" t="n">
        <v>5.8</v>
      </c>
      <c r="U320" s="251" t="n">
        <v>17</v>
      </c>
      <c r="V320" s="252"/>
      <c r="W320" s="255" t="n">
        <v>6.6</v>
      </c>
      <c r="X320" s="250" t="n">
        <v>4</v>
      </c>
      <c r="Y320" s="256"/>
    </row>
    <row r="321" customFormat="false" ht="12.5" hidden="false" customHeight="true" outlineLevel="0" collapsed="false">
      <c r="A321" s="210" t="s">
        <v>1103</v>
      </c>
      <c r="B321" s="211" t="s">
        <v>1121</v>
      </c>
      <c r="C321" s="246" t="s">
        <v>1512</v>
      </c>
      <c r="D321" s="247" t="s">
        <v>1489</v>
      </c>
      <c r="E321" s="248" t="n">
        <v>5.25</v>
      </c>
      <c r="F321" s="248" t="n">
        <v>1844</v>
      </c>
      <c r="G321" s="249" t="n">
        <v>1793.52</v>
      </c>
      <c r="H321" s="249" t="n">
        <v>5.5</v>
      </c>
      <c r="I321" s="249" t="n">
        <v>1875</v>
      </c>
      <c r="J321" s="250" t="n">
        <v>75.98</v>
      </c>
      <c r="K321" s="249"/>
      <c r="L321" s="249"/>
      <c r="M321" s="249" t="n">
        <v>-23.17</v>
      </c>
      <c r="N321" s="251" t="n">
        <v>53.92</v>
      </c>
      <c r="O321" s="252" t="n">
        <v>27.25</v>
      </c>
      <c r="P321" s="253" t="n">
        <v>27</v>
      </c>
      <c r="Q321" s="220"/>
      <c r="R321" s="251" t="n">
        <v>364</v>
      </c>
      <c r="S321" s="252" t="n">
        <v>27.7</v>
      </c>
      <c r="T321" s="254" t="n">
        <v>6.6</v>
      </c>
      <c r="U321" s="251" t="n">
        <v>368</v>
      </c>
      <c r="V321" s="252" t="n">
        <v>35</v>
      </c>
      <c r="W321" s="255" t="n">
        <v>5.8</v>
      </c>
      <c r="X321" s="250" t="n">
        <v>4</v>
      </c>
      <c r="Y321" s="256" t="n">
        <v>47.1</v>
      </c>
    </row>
    <row r="322" customFormat="false" ht="12.5" hidden="false" customHeight="true" outlineLevel="0" collapsed="false">
      <c r="A322" s="210" t="s">
        <v>1103</v>
      </c>
      <c r="B322" s="211" t="s">
        <v>1121</v>
      </c>
      <c r="C322" s="246" t="s">
        <v>1513</v>
      </c>
      <c r="D322" s="247" t="s">
        <v>1491</v>
      </c>
      <c r="E322" s="248" t="n">
        <v>2.75</v>
      </c>
      <c r="F322" s="248" t="n">
        <v>3017</v>
      </c>
      <c r="G322" s="249" t="n">
        <v>2915.88</v>
      </c>
      <c r="H322" s="249" t="n">
        <v>1</v>
      </c>
      <c r="I322" s="249" t="n">
        <v>3156</v>
      </c>
      <c r="J322" s="250" t="n">
        <v>239.12</v>
      </c>
      <c r="K322" s="249"/>
      <c r="L322" s="249"/>
      <c r="M322" s="249" t="n">
        <v>57.14</v>
      </c>
      <c r="N322" s="251" t="n">
        <v>83.61</v>
      </c>
      <c r="O322" s="252" t="n">
        <v>20.13</v>
      </c>
      <c r="P322" s="253" t="n">
        <v>63</v>
      </c>
      <c r="Q322" s="220"/>
      <c r="R322" s="251" t="n">
        <v>209</v>
      </c>
      <c r="S322" s="252" t="n">
        <v>102.4</v>
      </c>
      <c r="T322" s="254" t="n">
        <v>6.5</v>
      </c>
      <c r="U322" s="251" t="n">
        <v>233</v>
      </c>
      <c r="V322" s="252" t="n">
        <v>167</v>
      </c>
      <c r="W322" s="255" t="n">
        <v>3.9</v>
      </c>
      <c r="X322" s="250" t="n">
        <v>24</v>
      </c>
      <c r="Y322" s="256" t="n">
        <v>120.4</v>
      </c>
    </row>
    <row r="323" customFormat="false" ht="12.5" hidden="false" customHeight="true" outlineLevel="0" collapsed="false">
      <c r="A323" s="210" t="s">
        <v>1103</v>
      </c>
      <c r="B323" s="211" t="s">
        <v>1121</v>
      </c>
      <c r="C323" s="246" t="s">
        <v>1514</v>
      </c>
      <c r="D323" s="247" t="s">
        <v>1493</v>
      </c>
      <c r="E323" s="248"/>
      <c r="F323" s="248" t="n">
        <v>1180</v>
      </c>
      <c r="G323" s="249" t="n">
        <v>917.81</v>
      </c>
      <c r="H323" s="249"/>
      <c r="I323" s="249" t="n">
        <v>1304</v>
      </c>
      <c r="J323" s="250" t="n">
        <v>386.19</v>
      </c>
      <c r="K323" s="249"/>
      <c r="L323" s="249"/>
      <c r="M323" s="249" t="n">
        <v>54.46</v>
      </c>
      <c r="N323" s="251" t="n">
        <v>69.54</v>
      </c>
      <c r="O323" s="252" t="n">
        <v>31.41</v>
      </c>
      <c r="P323" s="253" t="n">
        <v>38</v>
      </c>
      <c r="Q323" s="220"/>
      <c r="R323" s="251" t="n">
        <v>229</v>
      </c>
      <c r="S323" s="252" t="n">
        <v>34.8</v>
      </c>
      <c r="T323" s="254" t="n">
        <v>7.4</v>
      </c>
      <c r="U323" s="251" t="n">
        <v>232</v>
      </c>
      <c r="V323" s="252" t="n">
        <v>13</v>
      </c>
      <c r="W323" s="255" t="n">
        <v>5.5</v>
      </c>
      <c r="X323" s="250" t="n">
        <v>3</v>
      </c>
      <c r="Y323" s="256" t="n">
        <v>51.8</v>
      </c>
    </row>
    <row r="324" customFormat="false" ht="12.5" hidden="false" customHeight="true" outlineLevel="0" collapsed="false">
      <c r="A324" s="210" t="s">
        <v>1103</v>
      </c>
      <c r="B324" s="211" t="s">
        <v>1121</v>
      </c>
      <c r="C324" s="246" t="s">
        <v>1515</v>
      </c>
      <c r="D324" s="247" t="s">
        <v>1516</v>
      </c>
      <c r="E324" s="248"/>
      <c r="F324" s="248" t="n">
        <v>447</v>
      </c>
      <c r="G324" s="249" t="n">
        <v>888</v>
      </c>
      <c r="H324" s="249"/>
      <c r="I324" s="249" t="n">
        <v>338</v>
      </c>
      <c r="J324" s="250" t="n">
        <v>-550</v>
      </c>
      <c r="K324" s="249"/>
      <c r="L324" s="249"/>
      <c r="M324" s="249" t="n">
        <v>-47.32</v>
      </c>
      <c r="N324" s="251" t="n">
        <v>-61.68</v>
      </c>
      <c r="O324" s="252" t="n">
        <v>-33.25</v>
      </c>
      <c r="P324" s="253" t="n">
        <v>-28</v>
      </c>
      <c r="Q324" s="220"/>
      <c r="R324" s="251" t="n">
        <v>53</v>
      </c>
      <c r="S324" s="252" t="n">
        <v>47.3</v>
      </c>
      <c r="T324" s="254" t="n">
        <v>6.1</v>
      </c>
      <c r="U324" s="251" t="n">
        <v>7</v>
      </c>
      <c r="V324" s="252"/>
      <c r="W324" s="255" t="n">
        <v>9.5</v>
      </c>
      <c r="X324" s="250" t="n">
        <v>-46</v>
      </c>
      <c r="Y324" s="256" t="n">
        <v>-85.6</v>
      </c>
    </row>
    <row r="325" customFormat="false" ht="12.5" hidden="false" customHeight="true" outlineLevel="0" collapsed="false">
      <c r="A325" s="210" t="s">
        <v>1103</v>
      </c>
      <c r="B325" s="211" t="s">
        <v>1121</v>
      </c>
      <c r="C325" s="246" t="s">
        <v>1517</v>
      </c>
      <c r="D325" s="247" t="s">
        <v>1062</v>
      </c>
      <c r="E325" s="248"/>
      <c r="F325" s="248" t="n">
        <v>1155</v>
      </c>
      <c r="G325" s="249" t="n">
        <v>1200.06</v>
      </c>
      <c r="H325" s="249"/>
      <c r="I325" s="249" t="n">
        <v>978</v>
      </c>
      <c r="J325" s="250" t="n">
        <v>-222.06</v>
      </c>
      <c r="K325" s="249"/>
      <c r="L325" s="249"/>
      <c r="M325" s="249" t="n">
        <v>-83.85</v>
      </c>
      <c r="N325" s="251" t="n">
        <v>-93.15</v>
      </c>
      <c r="O325" s="252" t="n">
        <v>-30.58</v>
      </c>
      <c r="P325" s="253" t="n">
        <v>-63</v>
      </c>
      <c r="Q325" s="220"/>
      <c r="R325" s="251" t="n">
        <v>195</v>
      </c>
      <c r="S325" s="252" t="n">
        <v>85.4</v>
      </c>
      <c r="T325" s="254" t="n">
        <v>6</v>
      </c>
      <c r="U325" s="251" t="n">
        <v>83</v>
      </c>
      <c r="V325" s="252"/>
      <c r="W325" s="255" t="n">
        <v>5.6</v>
      </c>
      <c r="X325" s="250" t="n">
        <v>-112</v>
      </c>
      <c r="Y325" s="256" t="n">
        <v>-126.7</v>
      </c>
    </row>
    <row r="326" customFormat="false" ht="12.5" hidden="false" customHeight="true" outlineLevel="0" collapsed="false">
      <c r="A326" s="247"/>
      <c r="B326" s="247"/>
      <c r="C326" s="247"/>
      <c r="D326" s="247"/>
      <c r="E326" s="247"/>
      <c r="F326" s="247"/>
      <c r="G326" s="247"/>
      <c r="H326" s="247"/>
      <c r="I326" s="247"/>
      <c r="J326" s="247"/>
      <c r="K326" s="247"/>
      <c r="L326" s="247"/>
      <c r="M326" s="247"/>
      <c r="N326" s="247"/>
      <c r="O326" s="257"/>
      <c r="P326" s="257"/>
      <c r="Q326" s="257"/>
      <c r="R326" s="247"/>
      <c r="S326" s="257"/>
      <c r="T326" s="258"/>
      <c r="U326" s="247"/>
      <c r="V326" s="257"/>
      <c r="W326" s="258"/>
      <c r="X326" s="247"/>
      <c r="Y326" s="247"/>
    </row>
    <row r="327" customFormat="false" ht="12.5" hidden="false" customHeight="true" outlineLevel="0" collapsed="false">
      <c r="A327" s="247"/>
      <c r="B327" s="247"/>
      <c r="C327" s="247"/>
      <c r="D327" s="247"/>
      <c r="E327" s="247"/>
      <c r="F327" s="247"/>
      <c r="G327" s="247"/>
      <c r="H327" s="247"/>
      <c r="I327" s="247"/>
      <c r="J327" s="247"/>
      <c r="K327" s="247"/>
      <c r="L327" s="247"/>
      <c r="M327" s="247"/>
      <c r="N327" s="247"/>
      <c r="O327" s="257"/>
      <c r="P327" s="257"/>
      <c r="Q327" s="257"/>
      <c r="R327" s="247"/>
      <c r="S327" s="257"/>
      <c r="T327" s="258"/>
      <c r="U327" s="247"/>
      <c r="V327" s="257"/>
      <c r="W327" s="258"/>
      <c r="X327" s="247"/>
      <c r="Y327" s="247"/>
    </row>
    <row r="328" customFormat="false" ht="12.5" hidden="false" customHeight="true" outlineLevel="0" collapsed="false">
      <c r="A328" s="247"/>
      <c r="B328" s="247"/>
      <c r="C328" s="247"/>
      <c r="D328" s="247"/>
      <c r="E328" s="247"/>
      <c r="F328" s="247"/>
      <c r="G328" s="247"/>
      <c r="H328" s="247"/>
      <c r="I328" s="247"/>
      <c r="J328" s="247"/>
      <c r="K328" s="247"/>
      <c r="L328" s="247"/>
      <c r="M328" s="247"/>
      <c r="N328" s="247"/>
      <c r="O328" s="257"/>
      <c r="P328" s="257"/>
      <c r="Q328" s="257"/>
      <c r="R328" s="247"/>
      <c r="S328" s="257"/>
      <c r="T328" s="258"/>
      <c r="U328" s="247"/>
      <c r="V328" s="257"/>
      <c r="W328" s="258"/>
      <c r="X328" s="247"/>
      <c r="Y328" s="247"/>
    </row>
    <row r="329" customFormat="false" ht="12.5" hidden="false" customHeight="true" outlineLevel="0" collapsed="false">
      <c r="A329" s="247"/>
      <c r="B329" s="247"/>
      <c r="C329" s="247"/>
      <c r="D329" s="247"/>
      <c r="E329" s="247"/>
      <c r="F329" s="247"/>
      <c r="G329" s="247"/>
      <c r="H329" s="247"/>
      <c r="I329" s="247"/>
      <c r="J329" s="247"/>
      <c r="K329" s="247"/>
      <c r="L329" s="247"/>
      <c r="M329" s="247"/>
      <c r="N329" s="247"/>
      <c r="O329" s="257"/>
      <c r="P329" s="257"/>
      <c r="Q329" s="257"/>
      <c r="R329" s="247"/>
      <c r="S329" s="257"/>
      <c r="T329" s="258"/>
      <c r="U329" s="247"/>
      <c r="V329" s="257"/>
      <c r="W329" s="258"/>
      <c r="X329" s="247"/>
      <c r="Y329" s="247"/>
    </row>
    <row r="330" customFormat="false" ht="12.5" hidden="false" customHeight="true" outlineLevel="0" collapsed="false">
      <c r="A330" s="247"/>
      <c r="B330" s="247"/>
      <c r="C330" s="247"/>
      <c r="D330" s="247"/>
      <c r="E330" s="247"/>
      <c r="F330" s="247"/>
      <c r="G330" s="247"/>
      <c r="H330" s="247"/>
      <c r="I330" s="247"/>
      <c r="J330" s="247"/>
      <c r="K330" s="247"/>
      <c r="L330" s="247"/>
      <c r="M330" s="247"/>
      <c r="N330" s="247"/>
      <c r="O330" s="257"/>
      <c r="P330" s="257"/>
      <c r="Q330" s="257"/>
      <c r="R330" s="247"/>
      <c r="S330" s="257"/>
      <c r="T330" s="258"/>
      <c r="U330" s="247"/>
      <c r="V330" s="257"/>
      <c r="W330" s="258"/>
      <c r="X330" s="247"/>
      <c r="Y330" s="247"/>
    </row>
    <row r="331" customFormat="false" ht="12.5" hidden="false" customHeight="true" outlineLevel="0" collapsed="false">
      <c r="A331" s="259"/>
      <c r="B331" s="259"/>
      <c r="C331" s="259"/>
      <c r="D331" s="259"/>
      <c r="E331" s="259"/>
      <c r="F331" s="259"/>
      <c r="G331" s="259"/>
      <c r="H331" s="259"/>
      <c r="I331" s="259"/>
      <c r="J331" s="259"/>
      <c r="K331" s="259"/>
      <c r="L331" s="259"/>
      <c r="M331" s="259"/>
      <c r="N331" s="259"/>
      <c r="O331" s="260"/>
      <c r="P331" s="260"/>
      <c r="Q331" s="257"/>
      <c r="R331" s="259"/>
      <c r="S331" s="260"/>
      <c r="T331" s="261"/>
      <c r="U331" s="259"/>
      <c r="V331" s="260"/>
      <c r="W331" s="261"/>
      <c r="X331" s="259"/>
      <c r="Y331" s="259"/>
    </row>
    <row r="332" customFormat="false" ht="12.5" hidden="false" customHeight="true" outlineLevel="0" collapsed="false">
      <c r="A332" s="259"/>
      <c r="B332" s="259"/>
      <c r="C332" s="259"/>
      <c r="D332" s="259"/>
      <c r="E332" s="259"/>
      <c r="F332" s="259"/>
      <c r="G332" s="259"/>
      <c r="H332" s="259"/>
      <c r="I332" s="259"/>
      <c r="J332" s="259"/>
      <c r="K332" s="259"/>
      <c r="L332" s="259"/>
      <c r="M332" s="259"/>
      <c r="N332" s="259"/>
      <c r="O332" s="260"/>
      <c r="P332" s="260"/>
      <c r="Q332" s="257"/>
      <c r="R332" s="259"/>
      <c r="S332" s="260"/>
      <c r="T332" s="261"/>
      <c r="U332" s="259"/>
      <c r="V332" s="260"/>
      <c r="W332" s="261"/>
      <c r="X332" s="259"/>
      <c r="Y332" s="259"/>
    </row>
    <row r="333" customFormat="false" ht="12.5" hidden="false" customHeight="true" outlineLevel="0" collapsed="false">
      <c r="A333" s="259"/>
      <c r="B333" s="259"/>
      <c r="C333" s="259"/>
      <c r="D333" s="259"/>
      <c r="E333" s="259"/>
      <c r="F333" s="259"/>
      <c r="G333" s="259"/>
      <c r="H333" s="259"/>
      <c r="I333" s="249" t="n">
        <f aca="false">SUMIFS(I4:I325,A4:A325,"Mission")</f>
        <v>1965629.69</v>
      </c>
      <c r="J333" s="259"/>
      <c r="K333" s="259"/>
      <c r="L333" s="259"/>
      <c r="M333" s="259"/>
      <c r="N333" s="259"/>
      <c r="O333" s="260"/>
      <c r="P333" s="260"/>
      <c r="Q333" s="257"/>
      <c r="R333" s="259"/>
      <c r="S333" s="260"/>
      <c r="T333" s="261"/>
      <c r="U333" s="259"/>
      <c r="V333" s="260"/>
      <c r="W333" s="261"/>
      <c r="X333" s="259"/>
      <c r="Y333" s="259"/>
    </row>
    <row r="334" customFormat="false" ht="12.5" hidden="false" customHeight="true" outlineLevel="0" collapsed="false">
      <c r="A334" s="259"/>
      <c r="B334" s="259"/>
      <c r="C334" s="259"/>
      <c r="D334" s="259"/>
      <c r="E334" s="259"/>
      <c r="F334" s="259"/>
      <c r="G334" s="259"/>
      <c r="H334" s="259"/>
      <c r="I334" s="259"/>
      <c r="J334" s="259"/>
      <c r="K334" s="259"/>
      <c r="L334" s="259"/>
      <c r="M334" s="259"/>
      <c r="N334" s="259"/>
      <c r="O334" s="260"/>
      <c r="P334" s="260"/>
      <c r="Q334" s="257"/>
      <c r="R334" s="259"/>
      <c r="S334" s="260"/>
      <c r="T334" s="261"/>
      <c r="U334" s="259"/>
      <c r="V334" s="260"/>
      <c r="W334" s="261"/>
      <c r="X334" s="259"/>
      <c r="Y334" s="25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0" activeCellId="0" sqref="K20"/>
    </sheetView>
  </sheetViews>
  <sheetFormatPr defaultColWidth="11.0546875" defaultRowHeight="12.5" customHeight="false" zeroHeight="false" outlineLevelRow="0" outlineLevelCol="0"/>
  <sheetData>
    <row r="1" customFormat="false" ht="12.5" hidden="false" customHeight="false" outlineLevel="0" collapsed="false">
      <c r="B1" s="64" t="s">
        <v>1518</v>
      </c>
      <c r="J1" s="64" t="s">
        <v>1519</v>
      </c>
    </row>
    <row r="2" customFormat="false" ht="12.5" hidden="false" customHeight="false" outlineLevel="0" collapsed="false">
      <c r="A2" s="0" t="s">
        <v>1123</v>
      </c>
      <c r="B2" s="0" t="s">
        <v>1124</v>
      </c>
      <c r="G2" s="0" t="s">
        <v>17</v>
      </c>
      <c r="H2" s="0" t="s">
        <v>1123</v>
      </c>
      <c r="I2" s="0" t="s">
        <v>1124</v>
      </c>
    </row>
    <row r="3" customFormat="false" ht="12.5" hidden="false" customHeight="false" outlineLevel="0" collapsed="false">
      <c r="A3" s="0" t="s">
        <v>1145</v>
      </c>
      <c r="B3" s="0" t="s">
        <v>1146</v>
      </c>
      <c r="G3" s="0" t="s">
        <v>1520</v>
      </c>
      <c r="H3" s="0" t="s">
        <v>1123</v>
      </c>
      <c r="I3" s="0" t="n">
        <v>105</v>
      </c>
      <c r="J3" s="0" t="s">
        <v>1125</v>
      </c>
    </row>
    <row r="4" customFormat="false" ht="12.5" hidden="false" customHeight="false" outlineLevel="0" collapsed="false">
      <c r="A4" s="0" t="s">
        <v>1189</v>
      </c>
      <c r="B4" s="0" t="s">
        <v>1190</v>
      </c>
      <c r="G4" s="0" t="s">
        <v>1520</v>
      </c>
      <c r="H4" s="0" t="s">
        <v>1123</v>
      </c>
      <c r="I4" s="0" t="n">
        <v>151</v>
      </c>
      <c r="J4" s="0" t="s">
        <v>1140</v>
      </c>
    </row>
    <row r="5" customFormat="false" ht="12.5" hidden="false" customHeight="false" outlineLevel="0" collapsed="false">
      <c r="A5" s="0" t="s">
        <v>1202</v>
      </c>
      <c r="B5" s="0" t="s">
        <v>1203</v>
      </c>
      <c r="G5" s="0" t="s">
        <v>1520</v>
      </c>
      <c r="H5" s="0" t="s">
        <v>1123</v>
      </c>
      <c r="I5" s="0" t="n">
        <v>185</v>
      </c>
      <c r="J5" s="0" t="s">
        <v>1135</v>
      </c>
    </row>
    <row r="6" customFormat="false" ht="12.5" hidden="false" customHeight="false" outlineLevel="0" collapsed="false">
      <c r="A6" s="0" t="s">
        <v>1216</v>
      </c>
      <c r="B6" s="0" t="s">
        <v>1217</v>
      </c>
      <c r="G6" s="0" t="s">
        <v>17</v>
      </c>
      <c r="H6" s="0" t="s">
        <v>1145</v>
      </c>
      <c r="I6" s="0" t="s">
        <v>1146</v>
      </c>
    </row>
    <row r="7" customFormat="false" ht="12.5" hidden="false" customHeight="false" outlineLevel="0" collapsed="false">
      <c r="A7" s="0" t="s">
        <v>1223</v>
      </c>
      <c r="B7" s="0" t="s">
        <v>1224</v>
      </c>
      <c r="G7" s="0" t="s">
        <v>1520</v>
      </c>
      <c r="H7" s="0" t="s">
        <v>1145</v>
      </c>
      <c r="I7" s="0" t="n">
        <v>216</v>
      </c>
      <c r="J7" s="0" t="s">
        <v>1163</v>
      </c>
    </row>
    <row r="8" customFormat="false" ht="12.5" hidden="false" customHeight="false" outlineLevel="0" collapsed="false">
      <c r="A8" s="0" t="s">
        <v>1245</v>
      </c>
      <c r="B8" s="0" t="s">
        <v>1047</v>
      </c>
      <c r="G8" s="0" t="s">
        <v>1520</v>
      </c>
      <c r="H8" s="0" t="s">
        <v>1145</v>
      </c>
      <c r="I8" s="0" t="n">
        <v>232</v>
      </c>
      <c r="J8" s="0" t="s">
        <v>1158</v>
      </c>
    </row>
    <row r="9" customFormat="false" ht="12.5" hidden="false" customHeight="false" outlineLevel="0" collapsed="false">
      <c r="A9" s="0" t="s">
        <v>1255</v>
      </c>
      <c r="B9" s="0" t="s">
        <v>1256</v>
      </c>
      <c r="G9" s="0" t="s">
        <v>1520</v>
      </c>
      <c r="H9" s="0" t="s">
        <v>1145</v>
      </c>
      <c r="I9" s="0" t="n">
        <v>354</v>
      </c>
      <c r="J9" s="0" t="s">
        <v>1147</v>
      </c>
    </row>
    <row r="10" customFormat="false" ht="12.5" hidden="false" customHeight="false" outlineLevel="0" collapsed="false">
      <c r="A10" s="0" t="s">
        <v>1276</v>
      </c>
      <c r="B10" s="0" t="s">
        <v>1277</v>
      </c>
      <c r="G10" s="0" t="s">
        <v>17</v>
      </c>
      <c r="H10" s="0" t="s">
        <v>1189</v>
      </c>
      <c r="I10" s="0" t="s">
        <v>1190</v>
      </c>
    </row>
    <row r="11" customFormat="false" ht="12.5" hidden="false" customHeight="false" outlineLevel="0" collapsed="false">
      <c r="A11" s="0" t="s">
        <v>1290</v>
      </c>
      <c r="B11" s="0" t="s">
        <v>1291</v>
      </c>
      <c r="G11" s="0" t="s">
        <v>1520</v>
      </c>
      <c r="H11" s="0" t="s">
        <v>1189</v>
      </c>
      <c r="I11" s="0" t="n">
        <v>149</v>
      </c>
      <c r="J11" s="0" t="s">
        <v>1521</v>
      </c>
    </row>
    <row r="12" customFormat="false" ht="12.5" hidden="false" customHeight="false" outlineLevel="0" collapsed="false">
      <c r="A12" s="0" t="s">
        <v>1300</v>
      </c>
      <c r="B12" s="0" t="s">
        <v>1301</v>
      </c>
      <c r="G12" s="0" t="s">
        <v>1520</v>
      </c>
      <c r="H12" s="0" t="s">
        <v>1189</v>
      </c>
      <c r="I12" s="0" t="n">
        <v>206</v>
      </c>
      <c r="J12" s="0" t="s">
        <v>1191</v>
      </c>
    </row>
    <row r="13" customFormat="false" ht="12.5" hidden="false" customHeight="false" outlineLevel="0" collapsed="false">
      <c r="A13" s="0" t="s">
        <v>1317</v>
      </c>
      <c r="B13" s="0" t="s">
        <v>1318</v>
      </c>
      <c r="G13" s="0" t="s">
        <v>1520</v>
      </c>
      <c r="H13" s="0" t="s">
        <v>1189</v>
      </c>
      <c r="I13" s="0" t="n">
        <v>215</v>
      </c>
      <c r="J13" s="0" t="s">
        <v>1198</v>
      </c>
    </row>
    <row r="14" customFormat="false" ht="12.5" hidden="false" customHeight="false" outlineLevel="0" collapsed="false">
      <c r="A14" s="0" t="s">
        <v>1363</v>
      </c>
      <c r="B14" s="0" t="s">
        <v>1364</v>
      </c>
      <c r="G14" s="0" t="s">
        <v>1520</v>
      </c>
      <c r="H14" s="0" t="s">
        <v>1189</v>
      </c>
      <c r="I14" s="0" t="n">
        <v>381</v>
      </c>
      <c r="J14" s="0" t="s">
        <v>1522</v>
      </c>
    </row>
    <row r="15" customFormat="false" ht="12.5" hidden="false" customHeight="false" outlineLevel="0" collapsed="false">
      <c r="A15" s="0" t="s">
        <v>1523</v>
      </c>
      <c r="B15" s="0" t="s">
        <v>1524</v>
      </c>
      <c r="G15" s="0" t="s">
        <v>17</v>
      </c>
      <c r="H15" s="0" t="s">
        <v>1202</v>
      </c>
      <c r="I15" s="0" t="s">
        <v>1203</v>
      </c>
    </row>
    <row r="16" customFormat="false" ht="12.5" hidden="false" customHeight="false" outlineLevel="0" collapsed="false">
      <c r="A16" s="0" t="s">
        <v>1525</v>
      </c>
      <c r="B16" s="0" t="s">
        <v>1526</v>
      </c>
      <c r="G16" s="0" t="s">
        <v>1520</v>
      </c>
      <c r="H16" s="0" t="s">
        <v>1202</v>
      </c>
      <c r="I16" s="0" t="n">
        <v>110</v>
      </c>
      <c r="J16" s="0" t="s">
        <v>1527</v>
      </c>
    </row>
    <row r="17" customFormat="false" ht="12.5" hidden="false" customHeight="false" outlineLevel="0" collapsed="false">
      <c r="A17" s="0" t="s">
        <v>1380</v>
      </c>
      <c r="B17" s="0" t="s">
        <v>1052</v>
      </c>
      <c r="G17" s="0" t="s">
        <v>1520</v>
      </c>
      <c r="H17" s="0" t="s">
        <v>1202</v>
      </c>
      <c r="I17" s="0" t="n">
        <v>209</v>
      </c>
      <c r="J17" s="0" t="s">
        <v>1204</v>
      </c>
    </row>
    <row r="18" customFormat="false" ht="12.5" hidden="false" customHeight="false" outlineLevel="0" collapsed="false">
      <c r="A18" s="0" t="s">
        <v>1528</v>
      </c>
      <c r="B18" s="0" t="s">
        <v>1529</v>
      </c>
      <c r="G18" s="0" t="s">
        <v>1520</v>
      </c>
      <c r="H18" s="0" t="s">
        <v>1202</v>
      </c>
      <c r="I18" s="0" t="n">
        <v>365</v>
      </c>
      <c r="J18" s="0" t="s">
        <v>1530</v>
      </c>
    </row>
    <row r="19" customFormat="false" ht="12.5" hidden="false" customHeight="false" outlineLevel="0" collapsed="false">
      <c r="A19" s="0" t="s">
        <v>1209</v>
      </c>
      <c r="B19" s="0" t="s">
        <v>1531</v>
      </c>
      <c r="G19" s="0" t="s">
        <v>1520</v>
      </c>
      <c r="H19" s="0" t="s">
        <v>1202</v>
      </c>
      <c r="I19" s="0" t="n">
        <v>384</v>
      </c>
      <c r="J19" s="0" t="s">
        <v>1532</v>
      </c>
    </row>
    <row r="20" customFormat="false" ht="12.5" hidden="false" customHeight="false" outlineLevel="0" collapsed="false">
      <c r="A20" s="0" t="s">
        <v>1420</v>
      </c>
      <c r="B20" s="0" t="s">
        <v>1421</v>
      </c>
      <c r="G20" s="0" t="s">
        <v>17</v>
      </c>
      <c r="H20" s="0" t="s">
        <v>1216</v>
      </c>
      <c r="I20" s="0" t="s">
        <v>1217</v>
      </c>
    </row>
    <row r="21" customFormat="false" ht="12.5" hidden="false" customHeight="false" outlineLevel="0" collapsed="false">
      <c r="A21" s="0" t="s">
        <v>1431</v>
      </c>
      <c r="B21" s="0" t="s">
        <v>1432</v>
      </c>
      <c r="G21" s="0" t="s">
        <v>1520</v>
      </c>
      <c r="H21" s="0" t="s">
        <v>1216</v>
      </c>
      <c r="I21" s="0" t="n">
        <v>109</v>
      </c>
      <c r="J21" s="0" t="s">
        <v>1533</v>
      </c>
    </row>
    <row r="22" customFormat="false" ht="12.5" hidden="false" customHeight="false" outlineLevel="0" collapsed="false">
      <c r="A22" s="0" t="s">
        <v>1534</v>
      </c>
      <c r="B22" s="0" t="s">
        <v>1535</v>
      </c>
      <c r="G22" s="0" t="s">
        <v>1520</v>
      </c>
      <c r="H22" s="0" t="s">
        <v>1216</v>
      </c>
      <c r="I22" s="0" t="n">
        <v>112</v>
      </c>
      <c r="J22" s="0" t="s">
        <v>1218</v>
      </c>
    </row>
    <row r="23" customFormat="false" ht="12.5" hidden="false" customHeight="false" outlineLevel="0" collapsed="false">
      <c r="A23" s="0" t="s">
        <v>1536</v>
      </c>
      <c r="B23" s="0" t="s">
        <v>1537</v>
      </c>
      <c r="G23" s="0" t="s">
        <v>1520</v>
      </c>
      <c r="H23" s="0" t="s">
        <v>1216</v>
      </c>
      <c r="I23" s="0" t="n">
        <v>135</v>
      </c>
      <c r="J23" s="0" t="s">
        <v>1538</v>
      </c>
    </row>
    <row r="24" customFormat="false" ht="12.5" hidden="false" customHeight="false" outlineLevel="0" collapsed="false">
      <c r="A24" s="0" t="s">
        <v>1539</v>
      </c>
      <c r="B24" s="0" t="s">
        <v>1540</v>
      </c>
      <c r="G24" s="0" t="s">
        <v>1520</v>
      </c>
      <c r="H24" s="0" t="s">
        <v>1216</v>
      </c>
      <c r="I24" s="0" t="n">
        <v>147</v>
      </c>
      <c r="J24" s="0" t="s">
        <v>1220</v>
      </c>
    </row>
    <row r="25" customFormat="false" ht="12.5" hidden="false" customHeight="false" outlineLevel="0" collapsed="false">
      <c r="A25" s="0" t="s">
        <v>1448</v>
      </c>
      <c r="B25" s="0" t="s">
        <v>1449</v>
      </c>
      <c r="G25" s="0" t="s">
        <v>1520</v>
      </c>
      <c r="H25" s="0" t="s">
        <v>1216</v>
      </c>
      <c r="I25" s="0" t="n">
        <v>162</v>
      </c>
      <c r="J25" s="0" t="s">
        <v>1541</v>
      </c>
    </row>
    <row r="26" customFormat="false" ht="12.5" hidden="false" customHeight="false" outlineLevel="0" collapsed="false">
      <c r="A26" s="0" t="s">
        <v>1483</v>
      </c>
      <c r="B26" s="0" t="s">
        <v>1484</v>
      </c>
      <c r="G26" s="0" t="s">
        <v>1520</v>
      </c>
      <c r="H26" s="0" t="s">
        <v>1216</v>
      </c>
      <c r="I26" s="0" t="n">
        <v>177</v>
      </c>
      <c r="J26" s="0" t="s">
        <v>1542</v>
      </c>
    </row>
    <row r="27" customFormat="false" ht="12.5" hidden="false" customHeight="false" outlineLevel="0" collapsed="false">
      <c r="A27" s="0" t="s">
        <v>1495</v>
      </c>
      <c r="B27" s="0" t="s">
        <v>1496</v>
      </c>
      <c r="G27" s="0" t="s">
        <v>17</v>
      </c>
      <c r="H27" s="0" t="s">
        <v>1223</v>
      </c>
      <c r="I27" s="0" t="s">
        <v>1224</v>
      </c>
    </row>
    <row r="28" customFormat="false" ht="12.5" hidden="false" customHeight="false" outlineLevel="0" collapsed="false">
      <c r="A28" s="0" t="s">
        <v>1501</v>
      </c>
      <c r="B28" s="0" t="s">
        <v>1502</v>
      </c>
      <c r="G28" s="0" t="s">
        <v>1520</v>
      </c>
      <c r="H28" s="0" t="s">
        <v>1223</v>
      </c>
      <c r="I28" s="0" t="n">
        <v>126</v>
      </c>
      <c r="J28" s="0" t="s">
        <v>1233</v>
      </c>
    </row>
    <row r="29" customFormat="false" ht="12.5" hidden="false" customHeight="false" outlineLevel="0" collapsed="false">
      <c r="A29" s="0" t="s">
        <v>1508</v>
      </c>
      <c r="B29" s="0" t="s">
        <v>1543</v>
      </c>
      <c r="G29" s="0" t="s">
        <v>1520</v>
      </c>
      <c r="H29" s="0" t="s">
        <v>1223</v>
      </c>
      <c r="I29" s="0" t="n">
        <v>164</v>
      </c>
      <c r="J29" s="0" t="s">
        <v>1240</v>
      </c>
    </row>
    <row r="30" customFormat="false" ht="12.5" hidden="false" customHeight="false" outlineLevel="0" collapsed="false">
      <c r="A30" s="0" t="s">
        <v>1100</v>
      </c>
      <c r="B30" s="0" t="s">
        <v>1101</v>
      </c>
      <c r="G30" s="0" t="s">
        <v>1520</v>
      </c>
      <c r="H30" s="0" t="s">
        <v>1223</v>
      </c>
      <c r="I30" s="0" t="n">
        <v>165</v>
      </c>
      <c r="J30" s="0" t="s">
        <v>1225</v>
      </c>
    </row>
    <row r="31" customFormat="false" ht="12.5" hidden="false" customHeight="false" outlineLevel="0" collapsed="false">
      <c r="A31" s="0" t="s">
        <v>1112</v>
      </c>
      <c r="B31" s="0" t="s">
        <v>1113</v>
      </c>
      <c r="G31" s="0" t="s">
        <v>17</v>
      </c>
      <c r="H31" s="0" t="s">
        <v>1245</v>
      </c>
      <c r="I31" s="0" t="s">
        <v>1047</v>
      </c>
    </row>
    <row r="32" customFormat="false" ht="12.5" hidden="false" customHeight="false" outlineLevel="0" collapsed="false">
      <c r="A32" s="0" t="s">
        <v>1544</v>
      </c>
      <c r="B32" s="0" t="s">
        <v>1545</v>
      </c>
      <c r="G32" s="0" t="s">
        <v>1520</v>
      </c>
      <c r="H32" s="0" t="s">
        <v>1245</v>
      </c>
      <c r="I32" s="0" t="n">
        <v>131</v>
      </c>
      <c r="J32" s="0" t="s">
        <v>1546</v>
      </c>
    </row>
    <row r="33" customFormat="false" ht="12.5" hidden="false" customHeight="false" outlineLevel="0" collapsed="false">
      <c r="A33" s="0" t="s">
        <v>1547</v>
      </c>
      <c r="B33" s="0" t="s">
        <v>1548</v>
      </c>
      <c r="G33" s="0" t="s">
        <v>1520</v>
      </c>
      <c r="H33" s="0" t="s">
        <v>1245</v>
      </c>
      <c r="I33" s="0" t="n">
        <v>175</v>
      </c>
      <c r="J33" s="0" t="s">
        <v>1549</v>
      </c>
    </row>
    <row r="34" customFormat="false" ht="12.5" hidden="false" customHeight="false" outlineLevel="0" collapsed="false">
      <c r="A34" s="0" t="s">
        <v>1550</v>
      </c>
      <c r="B34" s="0" t="s">
        <v>1551</v>
      </c>
      <c r="G34" s="0" t="s">
        <v>1520</v>
      </c>
      <c r="H34" s="0" t="s">
        <v>1245</v>
      </c>
      <c r="I34" s="0" t="n">
        <v>224</v>
      </c>
      <c r="J34" s="0" t="s">
        <v>1246</v>
      </c>
    </row>
    <row r="35" customFormat="false" ht="12.5" hidden="false" customHeight="false" outlineLevel="0" collapsed="false">
      <c r="A35" s="0" t="s">
        <v>1552</v>
      </c>
      <c r="B35" s="0" t="s">
        <v>1553</v>
      </c>
      <c r="G35" s="0" t="s">
        <v>1520</v>
      </c>
      <c r="H35" s="0" t="s">
        <v>1245</v>
      </c>
      <c r="I35" s="0" t="n">
        <v>361</v>
      </c>
      <c r="J35" s="0" t="s">
        <v>1554</v>
      </c>
    </row>
    <row r="36" customFormat="false" ht="12.5" hidden="false" customHeight="false" outlineLevel="0" collapsed="false">
      <c r="A36" s="0" t="s">
        <v>1555</v>
      </c>
      <c r="B36" s="0" t="s">
        <v>1556</v>
      </c>
      <c r="G36" s="0" t="s">
        <v>17</v>
      </c>
      <c r="H36" s="0" t="s">
        <v>1255</v>
      </c>
      <c r="I36" s="0" t="s">
        <v>1256</v>
      </c>
    </row>
    <row r="37" customFormat="false" ht="12.5" hidden="false" customHeight="false" outlineLevel="0" collapsed="false">
      <c r="G37" s="0" t="s">
        <v>1520</v>
      </c>
      <c r="H37" s="0" t="s">
        <v>1255</v>
      </c>
      <c r="I37" s="0" t="n">
        <v>144</v>
      </c>
      <c r="J37" s="0" t="s">
        <v>1557</v>
      </c>
    </row>
    <row r="38" customFormat="false" ht="12.5" hidden="false" customHeight="false" outlineLevel="0" collapsed="false">
      <c r="G38" s="0" t="s">
        <v>1520</v>
      </c>
      <c r="H38" s="0" t="s">
        <v>1255</v>
      </c>
      <c r="I38" s="0" t="n">
        <v>146</v>
      </c>
      <c r="J38" s="0" t="s">
        <v>1558</v>
      </c>
    </row>
    <row r="39" customFormat="false" ht="12.5" hidden="false" customHeight="false" outlineLevel="0" collapsed="false">
      <c r="G39" s="0" t="s">
        <v>1520</v>
      </c>
      <c r="H39" s="0" t="s">
        <v>1255</v>
      </c>
      <c r="I39" s="0" t="n">
        <v>178</v>
      </c>
      <c r="J39" s="0" t="s">
        <v>1559</v>
      </c>
    </row>
    <row r="40" customFormat="false" ht="12.5" hidden="false" customHeight="false" outlineLevel="0" collapsed="false">
      <c r="G40" s="0" t="s">
        <v>1520</v>
      </c>
      <c r="H40" s="0" t="s">
        <v>1255</v>
      </c>
      <c r="I40" s="0" t="n">
        <v>212</v>
      </c>
      <c r="J40" s="0" t="s">
        <v>1257</v>
      </c>
    </row>
    <row r="41" customFormat="false" ht="12.5" hidden="false" customHeight="false" outlineLevel="0" collapsed="false">
      <c r="G41" s="0" t="s">
        <v>17</v>
      </c>
      <c r="H41" s="0" t="s">
        <v>1276</v>
      </c>
      <c r="I41" s="0" t="s">
        <v>1277</v>
      </c>
    </row>
    <row r="42" customFormat="false" ht="12.5" hidden="false" customHeight="false" outlineLevel="0" collapsed="false">
      <c r="G42" s="0" t="s">
        <v>1520</v>
      </c>
      <c r="H42" s="0" t="s">
        <v>1276</v>
      </c>
      <c r="I42" s="0" t="n">
        <v>129</v>
      </c>
      <c r="J42" s="0" t="s">
        <v>1278</v>
      </c>
    </row>
    <row r="43" customFormat="false" ht="12.5" hidden="false" customHeight="false" outlineLevel="0" collapsed="false">
      <c r="G43" s="0" t="s">
        <v>1520</v>
      </c>
      <c r="H43" s="0" t="s">
        <v>1276</v>
      </c>
      <c r="I43" s="0" t="n">
        <v>308</v>
      </c>
      <c r="J43" s="0" t="s">
        <v>1284</v>
      </c>
    </row>
    <row r="44" customFormat="false" ht="12.5" hidden="false" customHeight="false" outlineLevel="0" collapsed="false">
      <c r="G44" s="0" t="s">
        <v>17</v>
      </c>
      <c r="H44" s="0" t="s">
        <v>1290</v>
      </c>
      <c r="I44" s="0" t="s">
        <v>1291</v>
      </c>
    </row>
    <row r="45" customFormat="false" ht="12.5" hidden="false" customHeight="false" outlineLevel="0" collapsed="false">
      <c r="G45" s="0" t="s">
        <v>1520</v>
      </c>
      <c r="H45" s="0" t="s">
        <v>1290</v>
      </c>
      <c r="I45" s="0" t="n">
        <v>113</v>
      </c>
      <c r="J45" s="0" t="s">
        <v>1560</v>
      </c>
    </row>
    <row r="46" customFormat="false" ht="12.5" hidden="false" customHeight="false" outlineLevel="0" collapsed="false">
      <c r="G46" s="0" t="s">
        <v>1520</v>
      </c>
      <c r="H46" s="0" t="s">
        <v>1290</v>
      </c>
      <c r="I46" s="0" t="n">
        <v>159</v>
      </c>
      <c r="J46" s="0" t="s">
        <v>1561</v>
      </c>
    </row>
    <row r="47" customFormat="false" ht="12.5" hidden="false" customHeight="false" outlineLevel="0" collapsed="false">
      <c r="G47" s="0" t="s">
        <v>1520</v>
      </c>
      <c r="H47" s="0" t="s">
        <v>1290</v>
      </c>
      <c r="I47" s="0" t="n">
        <v>174</v>
      </c>
      <c r="J47" s="0" t="s">
        <v>1562</v>
      </c>
    </row>
    <row r="48" customFormat="false" ht="12.5" hidden="false" customHeight="false" outlineLevel="0" collapsed="false">
      <c r="G48" s="0" t="s">
        <v>1520</v>
      </c>
      <c r="H48" s="0" t="s">
        <v>1290</v>
      </c>
      <c r="I48" s="0" t="n">
        <v>181</v>
      </c>
      <c r="J48" s="0" t="s">
        <v>1292</v>
      </c>
    </row>
    <row r="49" customFormat="false" ht="12.5" hidden="false" customHeight="false" outlineLevel="0" collapsed="false">
      <c r="G49" s="0" t="s">
        <v>1520</v>
      </c>
      <c r="H49" s="0" t="s">
        <v>1290</v>
      </c>
      <c r="I49" s="0" t="n">
        <v>203</v>
      </c>
      <c r="J49" s="0" t="s">
        <v>1563</v>
      </c>
    </row>
    <row r="50" customFormat="false" ht="12.5" hidden="false" customHeight="false" outlineLevel="0" collapsed="false">
      <c r="G50" s="0" t="s">
        <v>1520</v>
      </c>
      <c r="H50" s="0" t="s">
        <v>1290</v>
      </c>
      <c r="I50" s="0" t="n">
        <v>205</v>
      </c>
      <c r="J50" s="0" t="s">
        <v>1564</v>
      </c>
    </row>
    <row r="51" customFormat="false" ht="12.5" hidden="false" customHeight="false" outlineLevel="0" collapsed="false">
      <c r="G51" s="0" t="s">
        <v>1520</v>
      </c>
      <c r="H51" s="0" t="s">
        <v>1290</v>
      </c>
      <c r="I51" s="0" t="n">
        <v>217</v>
      </c>
      <c r="J51" s="0" t="s">
        <v>1296</v>
      </c>
    </row>
    <row r="52" customFormat="false" ht="12.5" hidden="false" customHeight="false" outlineLevel="0" collapsed="false">
      <c r="G52" s="0" t="s">
        <v>1520</v>
      </c>
      <c r="H52" s="0" t="s">
        <v>1290</v>
      </c>
      <c r="I52" s="0" t="n">
        <v>235</v>
      </c>
      <c r="J52" s="0" t="s">
        <v>1565</v>
      </c>
    </row>
    <row r="53" customFormat="false" ht="12.5" hidden="false" customHeight="false" outlineLevel="0" collapsed="false">
      <c r="G53" s="0" t="s">
        <v>1520</v>
      </c>
      <c r="H53" s="0" t="s">
        <v>1290</v>
      </c>
      <c r="I53" s="0" t="n">
        <v>345</v>
      </c>
      <c r="J53" s="0" t="s">
        <v>1566</v>
      </c>
    </row>
    <row r="54" customFormat="false" ht="12.5" hidden="false" customHeight="false" outlineLevel="0" collapsed="false">
      <c r="G54" s="0" t="s">
        <v>1520</v>
      </c>
      <c r="H54" s="0" t="s">
        <v>1290</v>
      </c>
      <c r="I54" s="0" t="n">
        <v>380</v>
      </c>
      <c r="J54" s="0" t="s">
        <v>1567</v>
      </c>
    </row>
    <row r="55" customFormat="false" ht="12.5" hidden="false" customHeight="false" outlineLevel="0" collapsed="false">
      <c r="G55" s="0" t="s">
        <v>17</v>
      </c>
      <c r="H55" s="0" t="s">
        <v>1300</v>
      </c>
      <c r="I55" s="0" t="s">
        <v>1301</v>
      </c>
    </row>
    <row r="56" customFormat="false" ht="12.5" hidden="false" customHeight="false" outlineLevel="0" collapsed="false">
      <c r="G56" s="0" t="s">
        <v>1520</v>
      </c>
      <c r="H56" s="0" t="s">
        <v>1300</v>
      </c>
      <c r="I56" s="0" t="n">
        <v>134</v>
      </c>
      <c r="J56" s="0" t="s">
        <v>1302</v>
      </c>
    </row>
    <row r="57" customFormat="false" ht="12.5" hidden="false" customHeight="false" outlineLevel="0" collapsed="false">
      <c r="G57" s="0" t="s">
        <v>1520</v>
      </c>
      <c r="H57" s="0" t="s">
        <v>1300</v>
      </c>
      <c r="I57" s="0" t="n">
        <v>220</v>
      </c>
      <c r="J57" s="0" t="s">
        <v>1307</v>
      </c>
    </row>
    <row r="58" customFormat="false" ht="12.5" hidden="false" customHeight="false" outlineLevel="0" collapsed="false">
      <c r="G58" s="0" t="s">
        <v>1520</v>
      </c>
      <c r="H58" s="0" t="s">
        <v>1300</v>
      </c>
      <c r="I58" s="0" t="n">
        <v>305</v>
      </c>
      <c r="J58" s="0" t="s">
        <v>1312</v>
      </c>
    </row>
    <row r="59" customFormat="false" ht="12.5" hidden="false" customHeight="false" outlineLevel="0" collapsed="false">
      <c r="G59" s="0" t="s">
        <v>1520</v>
      </c>
      <c r="H59" s="0" t="s">
        <v>1300</v>
      </c>
      <c r="I59" s="0" t="n">
        <v>343</v>
      </c>
      <c r="J59" s="0" t="s">
        <v>1568</v>
      </c>
    </row>
    <row r="60" customFormat="false" ht="12.5" hidden="false" customHeight="false" outlineLevel="0" collapsed="false">
      <c r="G60" s="0" t="s">
        <v>17</v>
      </c>
      <c r="H60" s="0" t="s">
        <v>1317</v>
      </c>
      <c r="I60" s="0" t="s">
        <v>1318</v>
      </c>
    </row>
    <row r="61" customFormat="false" ht="12.5" hidden="false" customHeight="false" outlineLevel="0" collapsed="false">
      <c r="G61" s="0" t="s">
        <v>1520</v>
      </c>
      <c r="H61" s="0" t="s">
        <v>1317</v>
      </c>
      <c r="I61" s="0" t="n">
        <v>139</v>
      </c>
      <c r="J61" s="0" t="s">
        <v>1347</v>
      </c>
    </row>
    <row r="62" customFormat="false" ht="12.5" hidden="false" customHeight="false" outlineLevel="0" collapsed="false">
      <c r="G62" s="0" t="s">
        <v>1520</v>
      </c>
      <c r="H62" s="0" t="s">
        <v>1317</v>
      </c>
      <c r="I62" s="0" t="n">
        <v>140</v>
      </c>
      <c r="J62" s="0" t="s">
        <v>1319</v>
      </c>
    </row>
    <row r="63" customFormat="false" ht="12.5" hidden="false" customHeight="false" outlineLevel="0" collapsed="false">
      <c r="G63" s="0" t="s">
        <v>1520</v>
      </c>
      <c r="H63" s="0" t="s">
        <v>1317</v>
      </c>
      <c r="I63" s="0" t="n">
        <v>141</v>
      </c>
      <c r="J63" s="0" t="s">
        <v>1332</v>
      </c>
    </row>
    <row r="64" customFormat="false" ht="12.5" hidden="false" customHeight="false" outlineLevel="0" collapsed="false">
      <c r="G64" s="0" t="s">
        <v>1520</v>
      </c>
      <c r="H64" s="0" t="s">
        <v>1317</v>
      </c>
      <c r="I64" s="0" t="n">
        <v>143</v>
      </c>
      <c r="J64" s="0" t="s">
        <v>1359</v>
      </c>
    </row>
    <row r="65" customFormat="false" ht="12.5" hidden="false" customHeight="false" outlineLevel="0" collapsed="false">
      <c r="G65" s="0" t="s">
        <v>1520</v>
      </c>
      <c r="H65" s="0" t="s">
        <v>1317</v>
      </c>
      <c r="I65" s="0" t="n">
        <v>214</v>
      </c>
      <c r="J65" s="0" t="s">
        <v>1351</v>
      </c>
    </row>
    <row r="66" customFormat="false" ht="12.5" hidden="false" customHeight="false" outlineLevel="0" collapsed="false">
      <c r="G66" s="0" t="s">
        <v>1520</v>
      </c>
      <c r="H66" s="0" t="s">
        <v>1317</v>
      </c>
      <c r="I66" s="0" t="n">
        <v>230</v>
      </c>
      <c r="J66" s="0" t="s">
        <v>1339</v>
      </c>
    </row>
    <row r="67" customFormat="false" ht="12.5" hidden="false" customHeight="false" outlineLevel="0" collapsed="false">
      <c r="G67" s="0" t="s">
        <v>17</v>
      </c>
      <c r="H67" s="0" t="s">
        <v>1363</v>
      </c>
      <c r="I67" s="0" t="s">
        <v>1364</v>
      </c>
    </row>
    <row r="68" customFormat="false" ht="12.5" hidden="false" customHeight="false" outlineLevel="0" collapsed="false">
      <c r="G68" s="0" t="s">
        <v>1520</v>
      </c>
      <c r="H68" s="0" t="s">
        <v>1363</v>
      </c>
      <c r="I68" s="0" t="n">
        <v>156</v>
      </c>
      <c r="J68" s="0" t="s">
        <v>1365</v>
      </c>
    </row>
    <row r="69" customFormat="false" ht="12.5" hidden="false" customHeight="false" outlineLevel="0" collapsed="false">
      <c r="G69" s="0" t="s">
        <v>1520</v>
      </c>
      <c r="H69" s="0" t="s">
        <v>1363</v>
      </c>
      <c r="I69" s="0" t="n">
        <v>218</v>
      </c>
      <c r="J69" s="0" t="s">
        <v>1370</v>
      </c>
    </row>
    <row r="70" customFormat="false" ht="12.5" hidden="false" customHeight="false" outlineLevel="0" collapsed="false">
      <c r="G70" s="0" t="s">
        <v>1520</v>
      </c>
      <c r="H70" s="0" t="s">
        <v>1363</v>
      </c>
      <c r="I70" s="0" t="n">
        <v>302</v>
      </c>
      <c r="J70" s="0" t="s">
        <v>1375</v>
      </c>
    </row>
    <row r="71" customFormat="false" ht="12.5" hidden="false" customHeight="false" outlineLevel="0" collapsed="false">
      <c r="G71" s="0" t="s">
        <v>17</v>
      </c>
      <c r="H71" s="0" t="s">
        <v>1523</v>
      </c>
      <c r="I71" s="0" t="s">
        <v>1524</v>
      </c>
    </row>
    <row r="72" customFormat="false" ht="12.5" hidden="false" customHeight="false" outlineLevel="0" collapsed="false">
      <c r="G72" s="0" t="s">
        <v>1520</v>
      </c>
      <c r="H72" s="0" t="s">
        <v>1523</v>
      </c>
      <c r="I72" s="0" t="n">
        <v>104</v>
      </c>
      <c r="J72" s="0" t="s">
        <v>1569</v>
      </c>
    </row>
    <row r="73" customFormat="false" ht="12.5" hidden="false" customHeight="false" outlineLevel="0" collapsed="false">
      <c r="G73" s="0" t="s">
        <v>1520</v>
      </c>
      <c r="H73" s="0" t="s">
        <v>1523</v>
      </c>
      <c r="I73" s="0" t="n">
        <v>303</v>
      </c>
      <c r="J73" s="0" t="s">
        <v>1570</v>
      </c>
    </row>
    <row r="74" customFormat="false" ht="12.5" hidden="false" customHeight="false" outlineLevel="0" collapsed="false">
      <c r="G74" s="0" t="s">
        <v>17</v>
      </c>
      <c r="H74" s="0" t="s">
        <v>1525</v>
      </c>
      <c r="I74" s="0" t="s">
        <v>1526</v>
      </c>
    </row>
    <row r="75" customFormat="false" ht="12.5" hidden="false" customHeight="false" outlineLevel="0" collapsed="false">
      <c r="G75" s="0" t="s">
        <v>1520</v>
      </c>
      <c r="H75" s="0" t="s">
        <v>1525</v>
      </c>
      <c r="I75" s="0" t="n">
        <v>421</v>
      </c>
      <c r="J75" s="0" t="s">
        <v>1571</v>
      </c>
    </row>
    <row r="76" customFormat="false" ht="12.5" hidden="false" customHeight="false" outlineLevel="0" collapsed="false">
      <c r="G76" s="0" t="s">
        <v>1520</v>
      </c>
      <c r="H76" s="0" t="s">
        <v>1525</v>
      </c>
      <c r="I76" s="0" t="n">
        <v>422</v>
      </c>
      <c r="J76" s="0" t="s">
        <v>1572</v>
      </c>
    </row>
    <row r="77" customFormat="false" ht="12.5" hidden="false" customHeight="false" outlineLevel="0" collapsed="false">
      <c r="G77" s="0" t="s">
        <v>1520</v>
      </c>
      <c r="H77" s="0" t="s">
        <v>1525</v>
      </c>
      <c r="I77" s="0" t="n">
        <v>423</v>
      </c>
      <c r="J77" s="0" t="s">
        <v>1573</v>
      </c>
    </row>
    <row r="78" customFormat="false" ht="12.5" hidden="false" customHeight="false" outlineLevel="0" collapsed="false">
      <c r="G78" s="0" t="s">
        <v>1520</v>
      </c>
      <c r="H78" s="0" t="s">
        <v>1525</v>
      </c>
      <c r="I78" s="0" t="n">
        <v>424</v>
      </c>
      <c r="J78" s="0" t="s">
        <v>1574</v>
      </c>
    </row>
    <row r="79" customFormat="false" ht="12.5" hidden="false" customHeight="false" outlineLevel="0" collapsed="false">
      <c r="G79" s="0" t="s">
        <v>1520</v>
      </c>
      <c r="H79" s="0" t="s">
        <v>1525</v>
      </c>
      <c r="I79" s="0" t="n">
        <v>425</v>
      </c>
      <c r="J79" s="0" t="s">
        <v>1575</v>
      </c>
    </row>
    <row r="80" customFormat="false" ht="12.5" hidden="false" customHeight="false" outlineLevel="0" collapsed="false">
      <c r="G80" s="0" t="s">
        <v>17</v>
      </c>
      <c r="H80" s="0" t="s">
        <v>1380</v>
      </c>
      <c r="I80" s="0" t="s">
        <v>1052</v>
      </c>
    </row>
    <row r="81" customFormat="false" ht="12.5" hidden="false" customHeight="false" outlineLevel="0" collapsed="false">
      <c r="G81" s="0" t="s">
        <v>1520</v>
      </c>
      <c r="H81" s="0" t="s">
        <v>1380</v>
      </c>
      <c r="I81" s="0" t="n">
        <v>101</v>
      </c>
      <c r="J81" s="0" t="s">
        <v>1576</v>
      </c>
    </row>
    <row r="82" customFormat="false" ht="12.5" hidden="false" customHeight="false" outlineLevel="0" collapsed="false">
      <c r="G82" s="0" t="s">
        <v>1520</v>
      </c>
      <c r="H82" s="0" t="s">
        <v>1380</v>
      </c>
      <c r="I82" s="0" t="n">
        <v>107</v>
      </c>
      <c r="J82" s="0" t="s">
        <v>1391</v>
      </c>
    </row>
    <row r="83" customFormat="false" ht="12.5" hidden="false" customHeight="false" outlineLevel="0" collapsed="false">
      <c r="G83" s="0" t="s">
        <v>1520</v>
      </c>
      <c r="H83" s="0" t="s">
        <v>1380</v>
      </c>
      <c r="I83" s="0" t="n">
        <v>166</v>
      </c>
      <c r="J83" s="0" t="s">
        <v>1381</v>
      </c>
    </row>
    <row r="84" customFormat="false" ht="12.5" hidden="false" customHeight="false" outlineLevel="0" collapsed="false">
      <c r="G84" s="0" t="s">
        <v>1520</v>
      </c>
      <c r="H84" s="0" t="s">
        <v>1380</v>
      </c>
      <c r="I84" s="0" t="n">
        <v>182</v>
      </c>
      <c r="J84" s="0" t="s">
        <v>1401</v>
      </c>
    </row>
    <row r="85" customFormat="false" ht="12.5" hidden="false" customHeight="false" outlineLevel="0" collapsed="false">
      <c r="G85" s="0" t="s">
        <v>1520</v>
      </c>
      <c r="H85" s="0" t="s">
        <v>1380</v>
      </c>
      <c r="I85" s="0" t="n">
        <v>310</v>
      </c>
      <c r="J85" s="0" t="s">
        <v>1407</v>
      </c>
    </row>
    <row r="86" customFormat="false" ht="12.5" hidden="false" customHeight="false" outlineLevel="0" collapsed="false">
      <c r="G86" s="0" t="s">
        <v>1520</v>
      </c>
      <c r="H86" s="0" t="s">
        <v>1380</v>
      </c>
      <c r="I86" s="0" t="n">
        <v>335</v>
      </c>
      <c r="J86" s="0" t="s">
        <v>1414</v>
      </c>
    </row>
    <row r="87" customFormat="false" ht="12.5" hidden="false" customHeight="false" outlineLevel="0" collapsed="false">
      <c r="G87" s="0" t="s">
        <v>17</v>
      </c>
      <c r="H87" s="0" t="s">
        <v>1528</v>
      </c>
      <c r="I87" s="0" t="s">
        <v>1529</v>
      </c>
    </row>
    <row r="88" customFormat="false" ht="12.5" hidden="false" customHeight="false" outlineLevel="0" collapsed="false">
      <c r="G88" s="0" t="s">
        <v>1520</v>
      </c>
      <c r="H88" s="0" t="s">
        <v>1528</v>
      </c>
      <c r="I88" s="0" t="n">
        <v>180</v>
      </c>
      <c r="J88" s="0" t="s">
        <v>1577</v>
      </c>
    </row>
    <row r="89" customFormat="false" ht="12.5" hidden="false" customHeight="false" outlineLevel="0" collapsed="false">
      <c r="G89" s="0" t="s">
        <v>1520</v>
      </c>
      <c r="H89" s="0" t="s">
        <v>1528</v>
      </c>
      <c r="I89" s="0" t="n">
        <v>334</v>
      </c>
      <c r="J89" s="0" t="s">
        <v>1578</v>
      </c>
    </row>
    <row r="90" customFormat="false" ht="12.5" hidden="false" customHeight="false" outlineLevel="0" collapsed="false">
      <c r="G90" s="0" t="s">
        <v>17</v>
      </c>
      <c r="H90" s="0" t="s">
        <v>1209</v>
      </c>
      <c r="I90" s="0" t="s">
        <v>1531</v>
      </c>
    </row>
    <row r="91" customFormat="false" ht="12.5" hidden="false" customHeight="false" outlineLevel="0" collapsed="false">
      <c r="G91" s="0" t="s">
        <v>1520</v>
      </c>
      <c r="H91" s="0" t="s">
        <v>1209</v>
      </c>
      <c r="I91" s="0" t="n">
        <v>158</v>
      </c>
      <c r="J91" s="0" t="s">
        <v>1211</v>
      </c>
    </row>
    <row r="92" customFormat="false" ht="12.5" hidden="false" customHeight="false" outlineLevel="0" collapsed="false">
      <c r="G92" s="0" t="s">
        <v>1520</v>
      </c>
      <c r="H92" s="0" t="s">
        <v>1209</v>
      </c>
      <c r="I92" s="0" t="n">
        <v>169</v>
      </c>
      <c r="J92" s="0" t="s">
        <v>1579</v>
      </c>
    </row>
    <row r="93" customFormat="false" ht="12.5" hidden="false" customHeight="false" outlineLevel="0" collapsed="false">
      <c r="G93" s="0" t="s">
        <v>17</v>
      </c>
      <c r="H93" s="0" t="s">
        <v>1420</v>
      </c>
      <c r="I93" s="0" t="s">
        <v>1421</v>
      </c>
    </row>
    <row r="94" customFormat="false" ht="12.5" hidden="false" customHeight="false" outlineLevel="0" collapsed="false">
      <c r="G94" s="0" t="s">
        <v>1520</v>
      </c>
      <c r="H94" s="0" t="s">
        <v>1420</v>
      </c>
      <c r="I94" s="0" t="n">
        <v>123</v>
      </c>
      <c r="J94" s="0" t="s">
        <v>1580</v>
      </c>
    </row>
    <row r="95" customFormat="false" ht="12.5" hidden="false" customHeight="false" outlineLevel="0" collapsed="false">
      <c r="G95" s="0" t="s">
        <v>1520</v>
      </c>
      <c r="H95" s="0" t="s">
        <v>1420</v>
      </c>
      <c r="I95" s="0" t="n">
        <v>138</v>
      </c>
      <c r="J95" s="0" t="s">
        <v>1422</v>
      </c>
    </row>
    <row r="96" customFormat="false" ht="12.5" hidden="false" customHeight="false" outlineLevel="0" collapsed="false">
      <c r="G96" s="0" t="s">
        <v>17</v>
      </c>
      <c r="H96" s="0" t="s">
        <v>1431</v>
      </c>
      <c r="I96" s="0" t="s">
        <v>1432</v>
      </c>
    </row>
    <row r="97" customFormat="false" ht="12.5" hidden="false" customHeight="false" outlineLevel="0" collapsed="false">
      <c r="G97" s="0" t="s">
        <v>1520</v>
      </c>
      <c r="H97" s="0" t="s">
        <v>1431</v>
      </c>
      <c r="I97" s="0" t="n">
        <v>142</v>
      </c>
      <c r="J97" s="0" t="s">
        <v>1444</v>
      </c>
    </row>
    <row r="98" customFormat="false" ht="12.5" hidden="false" customHeight="false" outlineLevel="0" collapsed="false">
      <c r="G98" s="0" t="s">
        <v>1520</v>
      </c>
      <c r="H98" s="0" t="s">
        <v>1431</v>
      </c>
      <c r="I98" s="0" t="n">
        <v>150</v>
      </c>
      <c r="J98" s="0" t="s">
        <v>1433</v>
      </c>
    </row>
    <row r="99" customFormat="false" ht="12.5" hidden="false" customHeight="false" outlineLevel="0" collapsed="false">
      <c r="G99" s="0" t="s">
        <v>1520</v>
      </c>
      <c r="H99" s="0" t="s">
        <v>1431</v>
      </c>
      <c r="I99" s="0" t="n">
        <v>172</v>
      </c>
      <c r="J99" s="0" t="s">
        <v>1581</v>
      </c>
    </row>
    <row r="100" customFormat="false" ht="12.5" hidden="false" customHeight="false" outlineLevel="0" collapsed="false">
      <c r="G100" s="0" t="s">
        <v>1520</v>
      </c>
      <c r="H100" s="0" t="s">
        <v>1431</v>
      </c>
      <c r="I100" s="0" t="n">
        <v>190</v>
      </c>
      <c r="J100" s="0" t="s">
        <v>1582</v>
      </c>
    </row>
    <row r="101" customFormat="false" ht="12.5" hidden="false" customHeight="false" outlineLevel="0" collapsed="false">
      <c r="G101" s="0" t="s">
        <v>1520</v>
      </c>
      <c r="H101" s="0" t="s">
        <v>1431</v>
      </c>
      <c r="I101" s="0" t="n">
        <v>191</v>
      </c>
      <c r="J101" s="0" t="s">
        <v>1583</v>
      </c>
    </row>
    <row r="102" customFormat="false" ht="12.5" hidden="false" customHeight="false" outlineLevel="0" collapsed="false">
      <c r="G102" s="0" t="s">
        <v>1520</v>
      </c>
      <c r="H102" s="0" t="s">
        <v>1431</v>
      </c>
      <c r="I102" s="0" t="n">
        <v>192</v>
      </c>
      <c r="J102" s="0" t="s">
        <v>1584</v>
      </c>
    </row>
    <row r="103" customFormat="false" ht="12.5" hidden="false" customHeight="false" outlineLevel="0" collapsed="false">
      <c r="G103" s="0" t="s">
        <v>1520</v>
      </c>
      <c r="H103" s="0" t="s">
        <v>1431</v>
      </c>
      <c r="I103" s="0" t="n">
        <v>193</v>
      </c>
      <c r="J103" s="0" t="s">
        <v>1585</v>
      </c>
    </row>
    <row r="104" customFormat="false" ht="12.5" hidden="false" customHeight="false" outlineLevel="0" collapsed="false">
      <c r="G104" s="0" t="s">
        <v>1520</v>
      </c>
      <c r="H104" s="0" t="s">
        <v>1431</v>
      </c>
      <c r="I104" s="0" t="n">
        <v>231</v>
      </c>
      <c r="J104" s="0" t="s">
        <v>1586</v>
      </c>
    </row>
    <row r="105" customFormat="false" ht="12.5" hidden="false" customHeight="false" outlineLevel="0" collapsed="false">
      <c r="G105" s="0" t="s">
        <v>17</v>
      </c>
      <c r="H105" s="0" t="s">
        <v>1534</v>
      </c>
      <c r="I105" s="0" t="s">
        <v>1535</v>
      </c>
    </row>
    <row r="106" customFormat="false" ht="12.5" hidden="false" customHeight="false" outlineLevel="0" collapsed="false">
      <c r="G106" s="0" t="s">
        <v>1520</v>
      </c>
      <c r="H106" s="0" t="s">
        <v>1534</v>
      </c>
      <c r="I106" s="0" t="n">
        <v>195</v>
      </c>
      <c r="J106" s="0" t="s">
        <v>1587</v>
      </c>
    </row>
    <row r="107" customFormat="false" ht="12.5" hidden="false" customHeight="false" outlineLevel="0" collapsed="false">
      <c r="G107" s="0" t="s">
        <v>1520</v>
      </c>
      <c r="H107" s="0" t="s">
        <v>1534</v>
      </c>
      <c r="I107" s="0" t="n">
        <v>197</v>
      </c>
      <c r="J107" s="0" t="s">
        <v>1588</v>
      </c>
    </row>
    <row r="108" customFormat="false" ht="12.5" hidden="false" customHeight="false" outlineLevel="0" collapsed="false">
      <c r="G108" s="0" t="s">
        <v>1520</v>
      </c>
      <c r="H108" s="0" t="s">
        <v>1534</v>
      </c>
      <c r="I108" s="0" t="n">
        <v>198</v>
      </c>
      <c r="J108" s="0" t="s">
        <v>1589</v>
      </c>
    </row>
    <row r="109" customFormat="false" ht="12.5" hidden="false" customHeight="false" outlineLevel="0" collapsed="false">
      <c r="G109" s="0" t="s">
        <v>17</v>
      </c>
      <c r="H109" s="0" t="s">
        <v>1536</v>
      </c>
      <c r="I109" s="0" t="s">
        <v>1537</v>
      </c>
    </row>
    <row r="110" customFormat="false" ht="12.5" hidden="false" customHeight="false" outlineLevel="0" collapsed="false">
      <c r="G110" s="0" t="s">
        <v>1520</v>
      </c>
      <c r="H110" s="0" t="s">
        <v>1536</v>
      </c>
      <c r="I110" s="0" t="n">
        <v>119</v>
      </c>
      <c r="J110" s="0" t="s">
        <v>1590</v>
      </c>
    </row>
    <row r="111" customFormat="false" ht="12.5" hidden="false" customHeight="false" outlineLevel="0" collapsed="false">
      <c r="G111" s="0" t="s">
        <v>1520</v>
      </c>
      <c r="H111" s="0" t="s">
        <v>1536</v>
      </c>
      <c r="I111" s="0" t="n">
        <v>122</v>
      </c>
      <c r="J111" s="0" t="s">
        <v>1591</v>
      </c>
    </row>
    <row r="112" customFormat="false" ht="12.5" hidden="false" customHeight="false" outlineLevel="0" collapsed="false">
      <c r="G112" s="0" t="s">
        <v>17</v>
      </c>
      <c r="H112" s="0" t="s">
        <v>1539</v>
      </c>
      <c r="I112" s="0" t="s">
        <v>1540</v>
      </c>
    </row>
    <row r="113" customFormat="false" ht="12.5" hidden="false" customHeight="false" outlineLevel="0" collapsed="false">
      <c r="G113" s="0" t="s">
        <v>1520</v>
      </c>
      <c r="H113" s="0" t="s">
        <v>1539</v>
      </c>
      <c r="I113" s="0" t="n">
        <v>183</v>
      </c>
      <c r="J113" s="0" t="s">
        <v>1592</v>
      </c>
    </row>
    <row r="114" customFormat="false" ht="12.5" hidden="false" customHeight="false" outlineLevel="0" collapsed="false">
      <c r="G114" s="0" t="s">
        <v>1520</v>
      </c>
      <c r="H114" s="0" t="s">
        <v>1539</v>
      </c>
      <c r="I114" s="0" t="n">
        <v>204</v>
      </c>
      <c r="J114" s="0" t="s">
        <v>1593</v>
      </c>
    </row>
    <row r="115" customFormat="false" ht="12.5" hidden="false" customHeight="false" outlineLevel="0" collapsed="false">
      <c r="G115" s="0" t="s">
        <v>1520</v>
      </c>
      <c r="H115" s="0" t="s">
        <v>1539</v>
      </c>
      <c r="I115" s="0" t="n">
        <v>379</v>
      </c>
      <c r="J115" s="0" t="s">
        <v>1594</v>
      </c>
    </row>
    <row r="116" customFormat="false" ht="12.5" hidden="false" customHeight="false" outlineLevel="0" collapsed="false">
      <c r="G116" s="0" t="s">
        <v>17</v>
      </c>
      <c r="H116" s="0" t="s">
        <v>1448</v>
      </c>
      <c r="I116" s="0" t="s">
        <v>1449</v>
      </c>
    </row>
    <row r="117" customFormat="false" ht="12.5" hidden="false" customHeight="false" outlineLevel="0" collapsed="false">
      <c r="G117" s="0" t="s">
        <v>1520</v>
      </c>
      <c r="H117" s="0" t="s">
        <v>1448</v>
      </c>
      <c r="I117" s="0" t="n">
        <v>152</v>
      </c>
      <c r="J117" s="0" t="s">
        <v>1462</v>
      </c>
    </row>
    <row r="118" customFormat="false" ht="12.5" hidden="false" customHeight="false" outlineLevel="0" collapsed="false">
      <c r="G118" s="0" t="s">
        <v>1520</v>
      </c>
      <c r="H118" s="0" t="s">
        <v>1448</v>
      </c>
      <c r="I118" s="0" t="n">
        <v>161</v>
      </c>
      <c r="J118" s="0" t="s">
        <v>1474</v>
      </c>
    </row>
    <row r="119" customFormat="false" ht="12.5" hidden="false" customHeight="false" outlineLevel="0" collapsed="false">
      <c r="G119" s="0" t="s">
        <v>1520</v>
      </c>
      <c r="H119" s="0" t="s">
        <v>1448</v>
      </c>
      <c r="I119" s="0" t="n">
        <v>176</v>
      </c>
      <c r="J119" s="0" t="s">
        <v>1450</v>
      </c>
    </row>
    <row r="120" customFormat="false" ht="12.5" hidden="false" customHeight="false" outlineLevel="0" collapsed="false">
      <c r="G120" s="0" t="s">
        <v>1520</v>
      </c>
      <c r="H120" s="0" t="s">
        <v>1448</v>
      </c>
      <c r="I120" s="0" t="n">
        <v>207</v>
      </c>
      <c r="J120" s="0" t="s">
        <v>1595</v>
      </c>
    </row>
    <row r="121" customFormat="false" ht="12.5" hidden="false" customHeight="false" outlineLevel="0" collapsed="false">
      <c r="G121" s="0" t="s">
        <v>17</v>
      </c>
      <c r="H121" s="0" t="s">
        <v>1483</v>
      </c>
      <c r="I121" s="0" t="s">
        <v>1484</v>
      </c>
    </row>
    <row r="122" customFormat="false" ht="12.5" hidden="false" customHeight="false" outlineLevel="0" collapsed="false">
      <c r="G122" s="0" t="s">
        <v>1520</v>
      </c>
      <c r="H122" s="0" t="s">
        <v>1483</v>
      </c>
      <c r="I122" s="0" t="n">
        <v>137</v>
      </c>
      <c r="J122" s="0" t="s">
        <v>1596</v>
      </c>
    </row>
    <row r="123" customFormat="false" ht="12.5" hidden="false" customHeight="false" outlineLevel="0" collapsed="false">
      <c r="G123" s="0" t="s">
        <v>1520</v>
      </c>
      <c r="H123" s="0" t="s">
        <v>1483</v>
      </c>
      <c r="I123" s="0" t="n">
        <v>157</v>
      </c>
      <c r="J123" s="0" t="s">
        <v>1597</v>
      </c>
    </row>
    <row r="124" customFormat="false" ht="12.5" hidden="false" customHeight="false" outlineLevel="0" collapsed="false">
      <c r="G124" s="0" t="s">
        <v>1520</v>
      </c>
      <c r="H124" s="0" t="s">
        <v>1483</v>
      </c>
      <c r="I124" s="0" t="n">
        <v>304</v>
      </c>
      <c r="J124" s="0" t="s">
        <v>1598</v>
      </c>
    </row>
    <row r="125" customFormat="false" ht="12.5" hidden="false" customHeight="false" outlineLevel="0" collapsed="false">
      <c r="G125" s="0" t="s">
        <v>17</v>
      </c>
      <c r="H125" s="0" t="s">
        <v>1495</v>
      </c>
      <c r="I125" s="0" t="s">
        <v>1496</v>
      </c>
    </row>
    <row r="126" customFormat="false" ht="12.5" hidden="false" customHeight="false" outlineLevel="0" collapsed="false">
      <c r="G126" s="0" t="s">
        <v>1520</v>
      </c>
      <c r="H126" s="0" t="s">
        <v>1495</v>
      </c>
      <c r="I126" s="0" t="n">
        <v>163</v>
      </c>
      <c r="J126" s="0" t="s">
        <v>1499</v>
      </c>
    </row>
    <row r="127" customFormat="false" ht="12.5" hidden="false" customHeight="false" outlineLevel="0" collapsed="false">
      <c r="G127" s="0" t="s">
        <v>1520</v>
      </c>
      <c r="H127" s="0" t="s">
        <v>1495</v>
      </c>
      <c r="I127" s="0" t="n">
        <v>219</v>
      </c>
      <c r="J127" s="0" t="s">
        <v>1497</v>
      </c>
    </row>
    <row r="128" customFormat="false" ht="12.5" hidden="false" customHeight="false" outlineLevel="0" collapsed="false">
      <c r="G128" s="0" t="s">
        <v>1520</v>
      </c>
      <c r="H128" s="0" t="s">
        <v>1495</v>
      </c>
      <c r="I128" s="0" t="n">
        <v>385</v>
      </c>
      <c r="J128" s="0" t="s">
        <v>1599</v>
      </c>
    </row>
    <row r="129" customFormat="false" ht="12.5" hidden="false" customHeight="false" outlineLevel="0" collapsed="false">
      <c r="G129" s="0" t="s">
        <v>17</v>
      </c>
      <c r="H129" s="0" t="s">
        <v>1501</v>
      </c>
      <c r="I129" s="0" t="s">
        <v>1502</v>
      </c>
    </row>
    <row r="130" customFormat="false" ht="12.5" hidden="false" customHeight="false" outlineLevel="0" collapsed="false">
      <c r="G130" s="0" t="s">
        <v>1520</v>
      </c>
      <c r="H130" s="0" t="s">
        <v>1501</v>
      </c>
      <c r="I130" s="0" t="n">
        <v>148</v>
      </c>
      <c r="J130" s="0" t="s">
        <v>1600</v>
      </c>
    </row>
    <row r="131" customFormat="false" ht="12.5" hidden="false" customHeight="false" outlineLevel="0" collapsed="false">
      <c r="G131" s="0" t="s">
        <v>1520</v>
      </c>
      <c r="H131" s="0" t="s">
        <v>1501</v>
      </c>
      <c r="I131" s="0" t="n">
        <v>348</v>
      </c>
      <c r="J131" s="0" t="s">
        <v>1601</v>
      </c>
    </row>
    <row r="132" customFormat="false" ht="12.5" hidden="false" customHeight="false" outlineLevel="0" collapsed="false">
      <c r="G132" s="0" t="s">
        <v>1520</v>
      </c>
      <c r="H132" s="0" t="s">
        <v>1501</v>
      </c>
      <c r="I132" s="0" t="n">
        <v>349</v>
      </c>
      <c r="J132" s="0" t="s">
        <v>1602</v>
      </c>
    </row>
    <row r="133" customFormat="false" ht="12.5" hidden="false" customHeight="false" outlineLevel="0" collapsed="false">
      <c r="G133" s="0" t="s">
        <v>17</v>
      </c>
      <c r="H133" s="0" t="s">
        <v>1508</v>
      </c>
      <c r="I133" s="0" t="s">
        <v>1543</v>
      </c>
    </row>
    <row r="134" customFormat="false" ht="12.5" hidden="false" customHeight="false" outlineLevel="0" collapsed="false">
      <c r="G134" s="0" t="s">
        <v>1520</v>
      </c>
      <c r="H134" s="0" t="s">
        <v>1508</v>
      </c>
      <c r="I134" s="0" t="n">
        <v>102</v>
      </c>
      <c r="J134" s="0" t="s">
        <v>1603</v>
      </c>
    </row>
    <row r="135" customFormat="false" ht="12.5" hidden="false" customHeight="false" outlineLevel="0" collapsed="false">
      <c r="G135" s="0" t="s">
        <v>1520</v>
      </c>
      <c r="H135" s="0" t="s">
        <v>1508</v>
      </c>
      <c r="I135" s="0" t="n">
        <v>103</v>
      </c>
      <c r="J135" s="0" t="s">
        <v>1604</v>
      </c>
    </row>
    <row r="136" customFormat="false" ht="12.5" hidden="false" customHeight="false" outlineLevel="0" collapsed="false">
      <c r="G136" s="0" t="s">
        <v>1520</v>
      </c>
      <c r="H136" s="0" t="s">
        <v>1508</v>
      </c>
      <c r="I136" s="0" t="n">
        <v>111</v>
      </c>
      <c r="J136" s="0" t="s">
        <v>1605</v>
      </c>
    </row>
    <row r="137" customFormat="false" ht="12.5" hidden="false" customHeight="false" outlineLevel="0" collapsed="false">
      <c r="G137" s="0" t="s">
        <v>1520</v>
      </c>
      <c r="H137" s="0" t="s">
        <v>1508</v>
      </c>
      <c r="I137" s="0" t="n">
        <v>155</v>
      </c>
      <c r="J137" s="0" t="s">
        <v>1606</v>
      </c>
    </row>
    <row r="138" customFormat="false" ht="12.5" hidden="false" customHeight="false" outlineLevel="0" collapsed="false">
      <c r="G138" s="0" t="s">
        <v>17</v>
      </c>
      <c r="H138" s="0" t="s">
        <v>1100</v>
      </c>
      <c r="I138" s="0" t="s">
        <v>1101</v>
      </c>
    </row>
    <row r="139" customFormat="false" ht="12.5" hidden="false" customHeight="false" outlineLevel="0" collapsed="false">
      <c r="G139" s="0" t="s">
        <v>1520</v>
      </c>
      <c r="H139" s="0" t="s">
        <v>1100</v>
      </c>
      <c r="I139" s="0" t="n">
        <v>612</v>
      </c>
      <c r="J139" s="0" t="s">
        <v>1607</v>
      </c>
    </row>
    <row r="140" customFormat="false" ht="12.5" hidden="false" customHeight="false" outlineLevel="0" collapsed="false">
      <c r="G140" s="0" t="s">
        <v>1520</v>
      </c>
      <c r="H140" s="0" t="s">
        <v>1100</v>
      </c>
      <c r="I140" s="0" t="n">
        <v>613</v>
      </c>
      <c r="J140" s="0" t="s">
        <v>1102</v>
      </c>
    </row>
    <row r="141" customFormat="false" ht="12.5" hidden="false" customHeight="false" outlineLevel="0" collapsed="false">
      <c r="G141" s="0" t="s">
        <v>1520</v>
      </c>
      <c r="H141" s="0" t="s">
        <v>1100</v>
      </c>
      <c r="I141" s="0" t="n">
        <v>614</v>
      </c>
      <c r="J141" s="0" t="s">
        <v>1608</v>
      </c>
    </row>
    <row r="142" customFormat="false" ht="12.5" hidden="false" customHeight="false" outlineLevel="0" collapsed="false">
      <c r="G142" s="0" t="s">
        <v>17</v>
      </c>
      <c r="H142" s="0" t="s">
        <v>1112</v>
      </c>
      <c r="I142" s="0" t="s">
        <v>1113</v>
      </c>
    </row>
    <row r="143" customFormat="false" ht="12.5" hidden="false" customHeight="false" outlineLevel="0" collapsed="false">
      <c r="G143" s="0" t="s">
        <v>1520</v>
      </c>
      <c r="H143" s="0" t="s">
        <v>1112</v>
      </c>
      <c r="I143" s="0" t="n">
        <v>623</v>
      </c>
      <c r="J143" s="0" t="s">
        <v>1609</v>
      </c>
    </row>
    <row r="144" customFormat="false" ht="12.5" hidden="false" customHeight="false" outlineLevel="0" collapsed="false">
      <c r="G144" s="0" t="s">
        <v>1520</v>
      </c>
      <c r="H144" s="0" t="s">
        <v>1112</v>
      </c>
      <c r="I144" s="0" t="n">
        <v>624</v>
      </c>
      <c r="J144" s="0" t="s">
        <v>1114</v>
      </c>
    </row>
    <row r="145" customFormat="false" ht="12.5" hidden="false" customHeight="false" outlineLevel="0" collapsed="false">
      <c r="G145" s="0" t="s">
        <v>17</v>
      </c>
      <c r="H145" s="0" t="s">
        <v>1544</v>
      </c>
      <c r="I145" s="0" t="s">
        <v>1545</v>
      </c>
    </row>
    <row r="146" customFormat="false" ht="12.5" hidden="false" customHeight="false" outlineLevel="0" collapsed="false">
      <c r="G146" s="0" t="s">
        <v>1520</v>
      </c>
      <c r="H146" s="0" t="s">
        <v>1544</v>
      </c>
      <c r="I146" s="0" t="n">
        <v>793</v>
      </c>
      <c r="J146" s="0" t="s">
        <v>1610</v>
      </c>
    </row>
    <row r="147" customFormat="false" ht="12.5" hidden="false" customHeight="false" outlineLevel="0" collapsed="false">
      <c r="G147" s="0" t="s">
        <v>1520</v>
      </c>
      <c r="H147" s="0" t="s">
        <v>1544</v>
      </c>
      <c r="I147" s="0" t="n">
        <v>794</v>
      </c>
      <c r="J147" s="0" t="s">
        <v>1611</v>
      </c>
    </row>
    <row r="148" customFormat="false" ht="12.5" hidden="false" customHeight="false" outlineLevel="0" collapsed="false">
      <c r="G148" s="0" t="s">
        <v>17</v>
      </c>
      <c r="H148" s="0" t="s">
        <v>1547</v>
      </c>
      <c r="I148" s="0" t="s">
        <v>1548</v>
      </c>
    </row>
    <row r="149" customFormat="false" ht="12.5" hidden="false" customHeight="false" outlineLevel="0" collapsed="false">
      <c r="G149" s="0" t="s">
        <v>1520</v>
      </c>
      <c r="H149" s="0" t="s">
        <v>1547</v>
      </c>
      <c r="I149" s="0" t="n">
        <v>723</v>
      </c>
      <c r="J149" s="0" t="s">
        <v>1612</v>
      </c>
    </row>
    <row r="150" customFormat="false" ht="12.5" hidden="false" customHeight="false" outlineLevel="0" collapsed="false">
      <c r="G150" s="0" t="s">
        <v>17</v>
      </c>
      <c r="H150" s="0" t="s">
        <v>1550</v>
      </c>
      <c r="I150" s="0" t="s">
        <v>1551</v>
      </c>
    </row>
    <row r="151" customFormat="false" ht="12.5" hidden="false" customHeight="false" outlineLevel="0" collapsed="false">
      <c r="G151" s="0" t="s">
        <v>1520</v>
      </c>
      <c r="H151" s="0" t="s">
        <v>1550</v>
      </c>
      <c r="I151" s="0" t="n">
        <v>751</v>
      </c>
      <c r="J151" s="0" t="s">
        <v>1613</v>
      </c>
    </row>
    <row r="152" customFormat="false" ht="12.5" hidden="false" customHeight="false" outlineLevel="0" collapsed="false">
      <c r="G152" s="0" t="s">
        <v>1520</v>
      </c>
      <c r="H152" s="0" t="s">
        <v>1550</v>
      </c>
      <c r="I152" s="0" t="n">
        <v>753</v>
      </c>
      <c r="J152" s="0" t="s">
        <v>1614</v>
      </c>
    </row>
    <row r="153" customFormat="false" ht="12.5" hidden="false" customHeight="false" outlineLevel="0" collapsed="false">
      <c r="G153" s="0" t="s">
        <v>1520</v>
      </c>
      <c r="H153" s="0" t="s">
        <v>1550</v>
      </c>
      <c r="I153" s="0" t="n">
        <v>754</v>
      </c>
      <c r="J153" s="0" t="s">
        <v>1615</v>
      </c>
    </row>
    <row r="154" customFormat="false" ht="12.5" hidden="false" customHeight="false" outlineLevel="0" collapsed="false">
      <c r="G154" s="0" t="s">
        <v>1520</v>
      </c>
      <c r="H154" s="0" t="s">
        <v>1550</v>
      </c>
      <c r="I154" s="0" t="n">
        <v>755</v>
      </c>
      <c r="J154" s="0" t="s">
        <v>1616</v>
      </c>
    </row>
    <row r="155" customFormat="false" ht="12.5" hidden="false" customHeight="false" outlineLevel="0" collapsed="false">
      <c r="G155" s="0" t="s">
        <v>17</v>
      </c>
      <c r="H155" s="0" t="s">
        <v>1552</v>
      </c>
      <c r="I155" s="0" t="s">
        <v>1553</v>
      </c>
    </row>
    <row r="156" customFormat="false" ht="12.5" hidden="false" customHeight="false" outlineLevel="0" collapsed="false">
      <c r="G156" s="0" t="s">
        <v>1520</v>
      </c>
      <c r="H156" s="0" t="s">
        <v>1552</v>
      </c>
      <c r="I156" s="0" t="n">
        <v>775</v>
      </c>
      <c r="J156" s="0" t="s">
        <v>1617</v>
      </c>
    </row>
    <row r="157" customFormat="false" ht="12.5" hidden="false" customHeight="false" outlineLevel="0" collapsed="false">
      <c r="G157" s="0" t="s">
        <v>1520</v>
      </c>
      <c r="H157" s="0" t="s">
        <v>1552</v>
      </c>
      <c r="I157" s="0" t="n">
        <v>776</v>
      </c>
      <c r="J157" s="0" t="s">
        <v>1618</v>
      </c>
    </row>
    <row r="158" customFormat="false" ht="12.5" hidden="false" customHeight="false" outlineLevel="0" collapsed="false">
      <c r="G158" s="0" t="s">
        <v>17</v>
      </c>
      <c r="H158" s="0" t="s">
        <v>1555</v>
      </c>
      <c r="I158" s="0" t="s">
        <v>1556</v>
      </c>
    </row>
    <row r="159" customFormat="false" ht="12.5" hidden="false" customHeight="false" outlineLevel="0" collapsed="false">
      <c r="G159" s="0" t="s">
        <v>1520</v>
      </c>
      <c r="H159" s="0" t="s">
        <v>1555</v>
      </c>
      <c r="I159" s="0" t="n">
        <v>841</v>
      </c>
      <c r="J159" s="0" t="s">
        <v>1619</v>
      </c>
    </row>
    <row r="160" customFormat="false" ht="12.5" hidden="false" customHeight="false" outlineLevel="0" collapsed="false">
      <c r="G160" s="0" t="s">
        <v>1520</v>
      </c>
      <c r="H160" s="0" t="s">
        <v>1555</v>
      </c>
      <c r="I160" s="0" t="n">
        <v>842</v>
      </c>
      <c r="J160" s="0" t="s">
        <v>1620</v>
      </c>
    </row>
    <row r="161" customFormat="false" ht="12.5" hidden="false" customHeight="false" outlineLevel="0" collapsed="false">
      <c r="G161" s="0" t="s">
        <v>1520</v>
      </c>
      <c r="H161" s="0" t="s">
        <v>1555</v>
      </c>
      <c r="I161" s="0" t="n">
        <v>843</v>
      </c>
      <c r="J161" s="0" t="s">
        <v>1621</v>
      </c>
    </row>
    <row r="162" customFormat="false" ht="12.5" hidden="false" customHeight="false" outlineLevel="0" collapsed="false">
      <c r="G162" s="0" t="s">
        <v>1520</v>
      </c>
      <c r="H162" s="0" t="s">
        <v>1555</v>
      </c>
      <c r="I162" s="0" t="n">
        <v>844</v>
      </c>
      <c r="J162" s="0" t="s">
        <v>1622</v>
      </c>
    </row>
    <row r="163" customFormat="false" ht="12.5" hidden="false" customHeight="false" outlineLevel="0" collapsed="false">
      <c r="G163" s="0" t="s">
        <v>1520</v>
      </c>
      <c r="H163" s="0" t="s">
        <v>1555</v>
      </c>
      <c r="I163" s="0" t="n">
        <v>845</v>
      </c>
      <c r="J163" s="0" t="s">
        <v>1623</v>
      </c>
    </row>
    <row r="164" customFormat="false" ht="12.5" hidden="false" customHeight="false" outlineLevel="0" collapsed="false">
      <c r="G164" s="0" t="s">
        <v>1520</v>
      </c>
      <c r="H164" s="0" t="s">
        <v>1555</v>
      </c>
      <c r="I164" s="0" t="n">
        <v>847</v>
      </c>
      <c r="J164" s="0" t="s">
        <v>1624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262" width="34"/>
    <col collapsed="false" customWidth="true" hidden="false" outlineLevel="0" max="2" min="2" style="262" width="62"/>
    <col collapsed="false" customWidth="true" hidden="false" outlineLevel="0" max="3" min="3" style="262" width="52"/>
    <col collapsed="false" customWidth="true" hidden="false" outlineLevel="0" max="4" min="4" style="262" width="13"/>
    <col collapsed="false" customWidth="true" hidden="false" outlineLevel="0" max="7" min="5" style="262" width="14"/>
    <col collapsed="false" customWidth="true" hidden="false" outlineLevel="0" max="10" min="8" style="262" width="11"/>
    <col collapsed="false" customWidth="true" hidden="false" outlineLevel="0" max="11" min="11" style="262" width="15"/>
    <col collapsed="false" customWidth="true" hidden="false" outlineLevel="0" max="12" min="12" style="262" width="10"/>
    <col collapsed="false" customWidth="true" hidden="false" outlineLevel="0" max="13" min="13" style="262" width="60"/>
  </cols>
  <sheetData>
    <row r="1" customFormat="false" ht="46.25" hidden="false" customHeight="false" outlineLevel="0" collapsed="false">
      <c r="A1" s="263" t="s">
        <v>1625</v>
      </c>
      <c r="B1" s="263" t="s">
        <v>1626</v>
      </c>
      <c r="C1" s="263" t="s">
        <v>1627</v>
      </c>
      <c r="D1" s="263" t="s">
        <v>1628</v>
      </c>
      <c r="E1" s="263" t="s">
        <v>1629</v>
      </c>
      <c r="F1" s="263" t="s">
        <v>1630</v>
      </c>
      <c r="G1" s="263" t="s">
        <v>1631</v>
      </c>
      <c r="H1" s="263" t="s">
        <v>1632</v>
      </c>
      <c r="I1" s="263" t="s">
        <v>1633</v>
      </c>
      <c r="J1" s="263" t="s">
        <v>1634</v>
      </c>
      <c r="K1" s="263" t="s">
        <v>1635</v>
      </c>
      <c r="L1" s="263" t="s">
        <v>1636</v>
      </c>
      <c r="M1" s="263" t="s">
        <v>1637</v>
      </c>
    </row>
    <row r="2" customFormat="false" ht="102.2" hidden="false" customHeight="false" outlineLevel="0" collapsed="false">
      <c r="A2" s="264" t="s">
        <v>1638</v>
      </c>
      <c r="B2" s="264" t="s">
        <v>1639</v>
      </c>
      <c r="C2" s="264" t="s">
        <v>1640</v>
      </c>
      <c r="D2" s="265" t="n">
        <v>9</v>
      </c>
      <c r="E2" s="266" t="n">
        <v>15.45</v>
      </c>
      <c r="F2" s="266" t="n">
        <v>14.5</v>
      </c>
      <c r="G2" s="266" t="n">
        <v>13.2</v>
      </c>
      <c r="H2" s="265" t="n">
        <v>6</v>
      </c>
      <c r="I2" s="265" t="n">
        <v>6</v>
      </c>
      <c r="J2" s="265" t="n">
        <v>5</v>
      </c>
      <c r="K2" s="267" t="s">
        <v>1641</v>
      </c>
      <c r="L2" s="265" t="n">
        <v>4</v>
      </c>
      <c r="M2" s="264" t="s">
        <v>1642</v>
      </c>
    </row>
    <row r="3" customFormat="false" ht="57.45" hidden="false" customHeight="false" outlineLevel="0" collapsed="false">
      <c r="A3" s="264" t="s">
        <v>1638</v>
      </c>
      <c r="B3" s="264" t="s">
        <v>1643</v>
      </c>
      <c r="C3" s="264" t="s">
        <v>1644</v>
      </c>
      <c r="D3" s="265" t="n">
        <v>21</v>
      </c>
      <c r="E3" s="266" t="n">
        <v>0</v>
      </c>
      <c r="F3" s="266" t="n">
        <v>0</v>
      </c>
      <c r="G3" s="266" t="n">
        <v>0</v>
      </c>
      <c r="H3" s="265" t="n">
        <v>0</v>
      </c>
      <c r="I3" s="265" t="n">
        <v>0</v>
      </c>
      <c r="J3" s="265" t="n">
        <v>0</v>
      </c>
      <c r="K3" s="267" t="s">
        <v>1641</v>
      </c>
      <c r="L3" s="265" t="n">
        <v>4</v>
      </c>
      <c r="M3" s="264" t="s">
        <v>1645</v>
      </c>
    </row>
    <row r="4" customFormat="false" ht="57.45" hidden="false" customHeight="false" outlineLevel="0" collapsed="false">
      <c r="A4" s="264" t="s">
        <v>1638</v>
      </c>
      <c r="B4" s="264" t="s">
        <v>1646</v>
      </c>
      <c r="C4" s="264" t="s">
        <v>1647</v>
      </c>
      <c r="D4" s="265" t="n">
        <v>5</v>
      </c>
      <c r="E4" s="266" t="n">
        <v>16.4</v>
      </c>
      <c r="F4" s="266" t="n">
        <v>12.39</v>
      </c>
      <c r="G4" s="266" t="n">
        <v>20.84</v>
      </c>
      <c r="H4" s="265" t="n">
        <v>8</v>
      </c>
      <c r="I4" s="265" t="n">
        <v>7</v>
      </c>
      <c r="J4" s="265" t="n">
        <v>7</v>
      </c>
      <c r="K4" s="267" t="s">
        <v>1641</v>
      </c>
      <c r="L4" s="265" t="n">
        <v>5</v>
      </c>
      <c r="M4" s="264" t="s">
        <v>1648</v>
      </c>
    </row>
    <row r="5" customFormat="false" ht="46.25" hidden="false" customHeight="false" outlineLevel="0" collapsed="false">
      <c r="A5" s="264" t="s">
        <v>1638</v>
      </c>
      <c r="B5" s="264" t="s">
        <v>1649</v>
      </c>
      <c r="C5" s="264" t="s">
        <v>1650</v>
      </c>
      <c r="D5" s="265" t="n">
        <v>18</v>
      </c>
      <c r="E5" s="266" t="n">
        <v>0</v>
      </c>
      <c r="F5" s="266" t="n">
        <v>0</v>
      </c>
      <c r="G5" s="266" t="n">
        <v>1.5</v>
      </c>
      <c r="H5" s="265" t="n">
        <v>6</v>
      </c>
      <c r="I5" s="265" t="n">
        <v>26</v>
      </c>
      <c r="J5" s="265" t="n">
        <v>5</v>
      </c>
      <c r="K5" s="267" t="s">
        <v>1641</v>
      </c>
      <c r="L5" s="265" t="n">
        <v>5</v>
      </c>
      <c r="M5" s="264" t="s">
        <v>1651</v>
      </c>
    </row>
    <row r="6" customFormat="false" ht="35.05" hidden="false" customHeight="false" outlineLevel="0" collapsed="false">
      <c r="A6" s="264" t="s">
        <v>1638</v>
      </c>
      <c r="B6" s="264" t="s">
        <v>1652</v>
      </c>
      <c r="C6" s="264" t="s">
        <v>1653</v>
      </c>
      <c r="D6" s="265" t="n">
        <v>11</v>
      </c>
      <c r="E6" s="266" t="n">
        <v>0.64</v>
      </c>
      <c r="F6" s="266" t="n">
        <v>0.64</v>
      </c>
      <c r="G6" s="266" t="n">
        <v>0.64</v>
      </c>
      <c r="H6" s="265" t="n">
        <v>1</v>
      </c>
      <c r="I6" s="265" t="n">
        <v>1</v>
      </c>
      <c r="J6" s="265" t="n">
        <v>1</v>
      </c>
      <c r="K6" s="267" t="s">
        <v>1641</v>
      </c>
      <c r="L6" s="265" t="n">
        <v>5</v>
      </c>
      <c r="M6" s="264"/>
    </row>
    <row r="7" customFormat="false" ht="46.25" hidden="false" customHeight="false" outlineLevel="0" collapsed="false">
      <c r="A7" s="264" t="s">
        <v>1638</v>
      </c>
      <c r="B7" s="264" t="s">
        <v>1654</v>
      </c>
      <c r="C7" s="264" t="s">
        <v>1655</v>
      </c>
      <c r="D7" s="265" t="n">
        <v>8</v>
      </c>
      <c r="E7" s="266" t="n">
        <v>38.68</v>
      </c>
      <c r="F7" s="266" t="n">
        <v>38.68</v>
      </c>
      <c r="G7" s="266" t="n">
        <v>38.68</v>
      </c>
      <c r="H7" s="265" t="n">
        <v>5</v>
      </c>
      <c r="I7" s="265" t="n">
        <v>5</v>
      </c>
      <c r="J7" s="265" t="n">
        <v>5</v>
      </c>
      <c r="K7" s="267" t="s">
        <v>1641</v>
      </c>
      <c r="L7" s="265" t="n">
        <v>5</v>
      </c>
      <c r="M7" s="264"/>
    </row>
    <row r="8" customFormat="false" ht="35.05" hidden="false" customHeight="false" outlineLevel="0" collapsed="false">
      <c r="A8" s="264" t="s">
        <v>1638</v>
      </c>
      <c r="B8" s="264" t="s">
        <v>1656</v>
      </c>
      <c r="C8" s="264" t="s">
        <v>1657</v>
      </c>
      <c r="D8" s="265" t="n">
        <v>11</v>
      </c>
      <c r="E8" s="266" t="n">
        <v>16.19</v>
      </c>
      <c r="F8" s="266" t="n">
        <v>16.19</v>
      </c>
      <c r="G8" s="266" t="n">
        <v>16.19</v>
      </c>
      <c r="H8" s="265" t="n">
        <v>6</v>
      </c>
      <c r="I8" s="265" t="n">
        <v>6</v>
      </c>
      <c r="J8" s="265" t="n">
        <v>6</v>
      </c>
      <c r="K8" s="267" t="s">
        <v>1641</v>
      </c>
      <c r="L8" s="265" t="n">
        <v>5</v>
      </c>
      <c r="M8" s="264"/>
    </row>
    <row r="9" customFormat="false" ht="23.85" hidden="false" customHeight="false" outlineLevel="0" collapsed="false">
      <c r="A9" s="264" t="s">
        <v>1638</v>
      </c>
      <c r="B9" s="264" t="s">
        <v>1658</v>
      </c>
      <c r="C9" s="264" t="s">
        <v>1659</v>
      </c>
      <c r="D9" s="265" t="n">
        <v>19</v>
      </c>
      <c r="E9" s="266" t="n">
        <v>0</v>
      </c>
      <c r="F9" s="266" t="n">
        <v>0</v>
      </c>
      <c r="G9" s="266" t="n">
        <v>0</v>
      </c>
      <c r="H9" s="265" t="n">
        <v>11</v>
      </c>
      <c r="I9" s="265" t="n">
        <v>11</v>
      </c>
      <c r="J9" s="265" t="n">
        <v>11</v>
      </c>
      <c r="K9" s="267" t="s">
        <v>1641</v>
      </c>
      <c r="L9" s="265" t="n">
        <v>6</v>
      </c>
      <c r="M9" s="264" t="s">
        <v>1660</v>
      </c>
    </row>
    <row r="10" customFormat="false" ht="46.25" hidden="false" customHeight="false" outlineLevel="0" collapsed="false">
      <c r="A10" s="264" t="s">
        <v>1638</v>
      </c>
      <c r="B10" s="264" t="s">
        <v>1661</v>
      </c>
      <c r="C10" s="264" t="s">
        <v>1662</v>
      </c>
      <c r="D10" s="265" t="n">
        <v>24</v>
      </c>
      <c r="E10" s="266" t="n">
        <v>0</v>
      </c>
      <c r="F10" s="266" t="n">
        <v>0</v>
      </c>
      <c r="G10" s="266" t="n">
        <v>0</v>
      </c>
      <c r="H10" s="265" t="n">
        <v>0</v>
      </c>
      <c r="I10" s="265" t="n">
        <v>0</v>
      </c>
      <c r="J10" s="265" t="n">
        <v>3</v>
      </c>
      <c r="K10" s="267" t="s">
        <v>1641</v>
      </c>
      <c r="L10" s="265" t="n">
        <v>6</v>
      </c>
      <c r="M10" s="264" t="s">
        <v>1663</v>
      </c>
    </row>
    <row r="11" customFormat="false" ht="23.85" hidden="false" customHeight="false" outlineLevel="0" collapsed="false">
      <c r="A11" s="264" t="s">
        <v>1638</v>
      </c>
      <c r="B11" s="264" t="s">
        <v>1664</v>
      </c>
      <c r="C11" s="264" t="s">
        <v>1665</v>
      </c>
      <c r="D11" s="265" t="n">
        <v>13</v>
      </c>
      <c r="E11" s="266" t="n">
        <v>2.15</v>
      </c>
      <c r="F11" s="266" t="n">
        <v>2.15</v>
      </c>
      <c r="G11" s="266" t="n">
        <v>2.15</v>
      </c>
      <c r="H11" s="265" t="n">
        <v>2</v>
      </c>
      <c r="I11" s="265" t="n">
        <v>2</v>
      </c>
      <c r="J11" s="265" t="n">
        <v>2</v>
      </c>
      <c r="K11" s="267" t="s">
        <v>1641</v>
      </c>
      <c r="L11" s="265" t="n">
        <v>6</v>
      </c>
      <c r="M11" s="264"/>
    </row>
    <row r="12" customFormat="false" ht="15" hidden="false" customHeight="false" outlineLevel="0" collapsed="false">
      <c r="A12" s="264" t="s">
        <v>1638</v>
      </c>
      <c r="B12" s="264" t="s">
        <v>1666</v>
      </c>
      <c r="C12" s="264" t="s">
        <v>1667</v>
      </c>
      <c r="D12" s="265" t="n">
        <v>12</v>
      </c>
      <c r="E12" s="266" t="n">
        <v>5.31</v>
      </c>
      <c r="F12" s="266" t="n">
        <v>5.31</v>
      </c>
      <c r="G12" s="266" t="n">
        <v>2.66</v>
      </c>
      <c r="H12" s="265" t="n">
        <v>2</v>
      </c>
      <c r="I12" s="265" t="n">
        <v>2</v>
      </c>
      <c r="J12" s="265" t="n">
        <v>1</v>
      </c>
      <c r="K12" s="267" t="s">
        <v>1641</v>
      </c>
      <c r="L12" s="265" t="n">
        <v>6</v>
      </c>
      <c r="M12" s="264"/>
    </row>
    <row r="13" customFormat="false" ht="68.65" hidden="false" customHeight="false" outlineLevel="0" collapsed="false">
      <c r="A13" s="264" t="s">
        <v>1638</v>
      </c>
      <c r="B13" s="264" t="s">
        <v>1668</v>
      </c>
      <c r="C13" s="264" t="s">
        <v>1669</v>
      </c>
      <c r="D13" s="265" t="n">
        <v>12</v>
      </c>
      <c r="E13" s="266" t="n">
        <v>0.65</v>
      </c>
      <c r="F13" s="266" t="n">
        <v>0.3</v>
      </c>
      <c r="G13" s="266" t="n">
        <v>0.3</v>
      </c>
      <c r="H13" s="265" t="n">
        <v>12</v>
      </c>
      <c r="I13" s="265" t="n">
        <v>12</v>
      </c>
      <c r="J13" s="265" t="n">
        <v>12</v>
      </c>
      <c r="K13" s="267" t="s">
        <v>1641</v>
      </c>
      <c r="L13" s="265" t="n">
        <v>6</v>
      </c>
      <c r="M13" s="264"/>
    </row>
    <row r="14" customFormat="false" ht="23.85" hidden="false" customHeight="false" outlineLevel="0" collapsed="false">
      <c r="A14" s="264" t="s">
        <v>1638</v>
      </c>
      <c r="B14" s="264" t="s">
        <v>1670</v>
      </c>
      <c r="C14" s="264" t="s">
        <v>1671</v>
      </c>
      <c r="D14" s="265" t="n">
        <v>12</v>
      </c>
      <c r="E14" s="266" t="n">
        <v>1255.13</v>
      </c>
      <c r="F14" s="266" t="n">
        <v>1255.13</v>
      </c>
      <c r="G14" s="266" t="n">
        <v>1255.13</v>
      </c>
      <c r="H14" s="265" t="n">
        <v>11</v>
      </c>
      <c r="I14" s="265" t="n">
        <v>11</v>
      </c>
      <c r="J14" s="265" t="n">
        <v>11</v>
      </c>
      <c r="K14" s="267" t="s">
        <v>1641</v>
      </c>
      <c r="L14" s="265" t="n">
        <v>6</v>
      </c>
      <c r="M14" s="264"/>
    </row>
    <row r="15" customFormat="false" ht="135.8" hidden="false" customHeight="false" outlineLevel="0" collapsed="false">
      <c r="A15" s="264" t="s">
        <v>1638</v>
      </c>
      <c r="B15" s="264" t="s">
        <v>1672</v>
      </c>
      <c r="C15" s="264" t="s">
        <v>1673</v>
      </c>
      <c r="D15" s="265" t="n">
        <v>33</v>
      </c>
      <c r="E15" s="266" t="n">
        <v>6.35</v>
      </c>
      <c r="F15" s="266" t="n">
        <v>7.07</v>
      </c>
      <c r="G15" s="266" t="n">
        <v>6.4</v>
      </c>
      <c r="H15" s="265" t="n">
        <v>7</v>
      </c>
      <c r="I15" s="265" t="n">
        <v>15</v>
      </c>
      <c r="J15" s="265" t="n">
        <v>14</v>
      </c>
      <c r="K15" s="267" t="s">
        <v>1641</v>
      </c>
      <c r="L15" s="265" t="n">
        <v>7</v>
      </c>
      <c r="M15" s="264" t="s">
        <v>1674</v>
      </c>
    </row>
    <row r="16" customFormat="false" ht="15" hidden="false" customHeight="false" outlineLevel="0" collapsed="false">
      <c r="A16" s="264" t="s">
        <v>1638</v>
      </c>
      <c r="B16" s="264" t="s">
        <v>1675</v>
      </c>
      <c r="C16" s="264" t="s">
        <v>1676</v>
      </c>
      <c r="D16" s="265" t="n">
        <v>5</v>
      </c>
      <c r="E16" s="266" t="n">
        <v>0</v>
      </c>
      <c r="F16" s="266" t="n">
        <v>0</v>
      </c>
      <c r="G16" s="266" t="n">
        <v>0</v>
      </c>
      <c r="H16" s="265" t="n">
        <v>10</v>
      </c>
      <c r="I16" s="265" t="n">
        <v>10</v>
      </c>
      <c r="J16" s="265" t="n">
        <v>8</v>
      </c>
      <c r="K16" s="267" t="s">
        <v>1641</v>
      </c>
      <c r="L16" s="265" t="n">
        <v>8</v>
      </c>
      <c r="M16" s="264"/>
    </row>
    <row r="17" customFormat="false" ht="46.25" hidden="false" customHeight="false" outlineLevel="0" collapsed="false">
      <c r="A17" s="264" t="s">
        <v>1638</v>
      </c>
      <c r="B17" s="264" t="s">
        <v>1677</v>
      </c>
      <c r="C17" s="264" t="s">
        <v>1678</v>
      </c>
      <c r="D17" s="265" t="n">
        <v>24</v>
      </c>
      <c r="E17" s="266" t="n">
        <v>7.6</v>
      </c>
      <c r="F17" s="266" t="n">
        <v>6.6</v>
      </c>
      <c r="G17" s="266" t="n">
        <v>7.8</v>
      </c>
      <c r="H17" s="265" t="n">
        <v>3</v>
      </c>
      <c r="I17" s="265" t="n">
        <v>3</v>
      </c>
      <c r="J17" s="265" t="n">
        <v>3</v>
      </c>
      <c r="K17" s="267" t="s">
        <v>1641</v>
      </c>
      <c r="L17" s="265" t="n">
        <v>8</v>
      </c>
      <c r="M17" s="264" t="s">
        <v>1679</v>
      </c>
    </row>
    <row r="18" customFormat="false" ht="46.25" hidden="false" customHeight="false" outlineLevel="0" collapsed="false">
      <c r="A18" s="264" t="s">
        <v>1638</v>
      </c>
      <c r="B18" s="264" t="s">
        <v>1680</v>
      </c>
      <c r="C18" s="264" t="s">
        <v>1681</v>
      </c>
      <c r="D18" s="265" t="n">
        <v>14</v>
      </c>
      <c r="E18" s="266" t="n">
        <v>134.67</v>
      </c>
      <c r="F18" s="266" t="n">
        <v>126.75</v>
      </c>
      <c r="G18" s="266" t="n">
        <v>116.47</v>
      </c>
      <c r="H18" s="265" t="n">
        <v>15</v>
      </c>
      <c r="I18" s="265" t="n">
        <v>17</v>
      </c>
      <c r="J18" s="265" t="n">
        <v>15</v>
      </c>
      <c r="K18" s="267" t="s">
        <v>1641</v>
      </c>
      <c r="L18" s="265" t="n">
        <v>8</v>
      </c>
      <c r="M18" s="264" t="s">
        <v>1682</v>
      </c>
    </row>
    <row r="19" customFormat="false" ht="91" hidden="false" customHeight="false" outlineLevel="0" collapsed="false">
      <c r="A19" s="264" t="s">
        <v>1638</v>
      </c>
      <c r="B19" s="264" t="s">
        <v>1683</v>
      </c>
      <c r="C19" s="264" t="s">
        <v>1684</v>
      </c>
      <c r="D19" s="265" t="n">
        <v>18</v>
      </c>
      <c r="E19" s="266" t="n">
        <v>66.81</v>
      </c>
      <c r="F19" s="266" t="n">
        <v>68.98</v>
      </c>
      <c r="G19" s="266" t="n">
        <v>95.76</v>
      </c>
      <c r="H19" s="265" t="n">
        <v>7</v>
      </c>
      <c r="I19" s="265" t="n">
        <v>8</v>
      </c>
      <c r="J19" s="265" t="n">
        <v>13</v>
      </c>
      <c r="K19" s="267" t="s">
        <v>1641</v>
      </c>
      <c r="L19" s="265" t="n">
        <v>8</v>
      </c>
      <c r="M19" s="264" t="s">
        <v>1685</v>
      </c>
    </row>
    <row r="20" customFormat="false" ht="68.65" hidden="false" customHeight="false" outlineLevel="0" collapsed="false">
      <c r="A20" s="264" t="s">
        <v>1638</v>
      </c>
      <c r="B20" s="264" t="s">
        <v>1686</v>
      </c>
      <c r="C20" s="264" t="s">
        <v>1687</v>
      </c>
      <c r="D20" s="265" t="n">
        <v>17</v>
      </c>
      <c r="E20" s="266" t="n">
        <v>836.99</v>
      </c>
      <c r="F20" s="266" t="n">
        <v>809</v>
      </c>
      <c r="G20" s="266" t="n">
        <v>831</v>
      </c>
      <c r="H20" s="265" t="n">
        <v>14</v>
      </c>
      <c r="I20" s="265" t="n">
        <v>18</v>
      </c>
      <c r="J20" s="265" t="n">
        <v>16</v>
      </c>
      <c r="K20" s="267" t="s">
        <v>1641</v>
      </c>
      <c r="L20" s="265" t="n">
        <v>9</v>
      </c>
      <c r="M20" s="264" t="s">
        <v>1688</v>
      </c>
    </row>
    <row r="21" customFormat="false" ht="57.45" hidden="false" customHeight="false" outlineLevel="0" collapsed="false">
      <c r="A21" s="264" t="s">
        <v>1638</v>
      </c>
      <c r="B21" s="264" t="s">
        <v>1689</v>
      </c>
      <c r="C21" s="264" t="s">
        <v>1690</v>
      </c>
      <c r="D21" s="265" t="n">
        <v>108</v>
      </c>
      <c r="E21" s="266" t="n">
        <v>27.5</v>
      </c>
      <c r="F21" s="266" t="n">
        <v>44.15</v>
      </c>
      <c r="G21" s="266" t="n">
        <v>29.15</v>
      </c>
      <c r="H21" s="265" t="n">
        <v>25</v>
      </c>
      <c r="I21" s="265" t="n">
        <v>31</v>
      </c>
      <c r="J21" s="265" t="n">
        <v>39</v>
      </c>
      <c r="K21" s="267" t="s">
        <v>1641</v>
      </c>
      <c r="L21" s="265" t="n">
        <v>9</v>
      </c>
      <c r="M21" s="264" t="s">
        <v>1691</v>
      </c>
    </row>
    <row r="22" customFormat="false" ht="23.85" hidden="false" customHeight="false" outlineLevel="0" collapsed="false">
      <c r="A22" s="264" t="s">
        <v>1638</v>
      </c>
      <c r="B22" s="264" t="s">
        <v>1692</v>
      </c>
      <c r="C22" s="264" t="s">
        <v>1693</v>
      </c>
      <c r="D22" s="265" t="n">
        <v>41</v>
      </c>
      <c r="E22" s="266" t="n">
        <v>938.53</v>
      </c>
      <c r="F22" s="266" t="n">
        <v>1096</v>
      </c>
      <c r="G22" s="266" t="n">
        <v>1122</v>
      </c>
      <c r="H22" s="265" t="n">
        <v>16</v>
      </c>
      <c r="I22" s="265" t="n">
        <v>16</v>
      </c>
      <c r="J22" s="265" t="n">
        <v>11</v>
      </c>
      <c r="K22" s="267" t="s">
        <v>1641</v>
      </c>
      <c r="L22" s="265" t="n">
        <v>9</v>
      </c>
      <c r="M22" s="264" t="s">
        <v>1694</v>
      </c>
    </row>
    <row r="23" customFormat="false" ht="46.25" hidden="false" customHeight="false" outlineLevel="0" collapsed="false">
      <c r="A23" s="264" t="s">
        <v>1638</v>
      </c>
      <c r="B23" s="264" t="s">
        <v>1695</v>
      </c>
      <c r="C23" s="264" t="s">
        <v>1696</v>
      </c>
      <c r="D23" s="265" t="n">
        <v>35</v>
      </c>
      <c r="E23" s="266" t="n">
        <v>0.05</v>
      </c>
      <c r="F23" s="266" t="n">
        <v>0</v>
      </c>
      <c r="G23" s="266" t="n">
        <v>0</v>
      </c>
      <c r="H23" s="265" t="n">
        <v>4</v>
      </c>
      <c r="I23" s="265" t="n">
        <v>2</v>
      </c>
      <c r="J23" s="265" t="n">
        <v>0</v>
      </c>
      <c r="K23" s="267" t="s">
        <v>1641</v>
      </c>
      <c r="L23" s="265" t="n">
        <v>10</v>
      </c>
      <c r="M23" s="264" t="s">
        <v>1697</v>
      </c>
    </row>
    <row r="24" customFormat="false" ht="46.25" hidden="false" customHeight="false" outlineLevel="0" collapsed="false">
      <c r="A24" s="264" t="s">
        <v>1638</v>
      </c>
      <c r="B24" s="264" t="s">
        <v>1698</v>
      </c>
      <c r="C24" s="264" t="s">
        <v>1699</v>
      </c>
      <c r="D24" s="265" t="n">
        <v>12</v>
      </c>
      <c r="E24" s="266" t="n">
        <v>39.38</v>
      </c>
      <c r="F24" s="266" t="n">
        <v>39.38</v>
      </c>
      <c r="G24" s="266" t="n">
        <v>39.38</v>
      </c>
      <c r="H24" s="265" t="n">
        <v>8</v>
      </c>
      <c r="I24" s="265" t="n">
        <v>8</v>
      </c>
      <c r="J24" s="265" t="n">
        <v>8</v>
      </c>
      <c r="K24" s="267" t="s">
        <v>1641</v>
      </c>
      <c r="L24" s="265" t="n">
        <v>10</v>
      </c>
      <c r="M24" s="264"/>
    </row>
    <row r="25" customFormat="false" ht="46.25" hidden="false" customHeight="false" outlineLevel="0" collapsed="false">
      <c r="A25" s="264" t="s">
        <v>1638</v>
      </c>
      <c r="B25" s="264" t="s">
        <v>1700</v>
      </c>
      <c r="C25" s="264" t="s">
        <v>1701</v>
      </c>
      <c r="D25" s="265" t="n">
        <v>90</v>
      </c>
      <c r="E25" s="266" t="n">
        <v>0</v>
      </c>
      <c r="F25" s="266" t="n">
        <v>5</v>
      </c>
      <c r="G25" s="266" t="n">
        <v>0</v>
      </c>
      <c r="H25" s="265" t="n">
        <v>0</v>
      </c>
      <c r="I25" s="265" t="n">
        <v>1</v>
      </c>
      <c r="J25" s="265" t="n">
        <v>0</v>
      </c>
      <c r="K25" s="267" t="s">
        <v>1641</v>
      </c>
      <c r="L25" s="265" t="n">
        <v>10</v>
      </c>
      <c r="M25" s="264" t="s">
        <v>1702</v>
      </c>
    </row>
    <row r="26" customFormat="false" ht="23.85" hidden="false" customHeight="false" outlineLevel="0" collapsed="false">
      <c r="A26" s="264" t="s">
        <v>1638</v>
      </c>
      <c r="B26" s="264" t="s">
        <v>1703</v>
      </c>
      <c r="C26" s="264" t="s">
        <v>1704</v>
      </c>
      <c r="D26" s="265" t="n">
        <v>65</v>
      </c>
      <c r="E26" s="266" t="n">
        <v>235</v>
      </c>
      <c r="F26" s="266" t="n">
        <v>235</v>
      </c>
      <c r="G26" s="266" t="n">
        <v>235</v>
      </c>
      <c r="H26" s="265" t="n">
        <v>10</v>
      </c>
      <c r="I26" s="265" t="n">
        <v>10</v>
      </c>
      <c r="J26" s="265" t="n">
        <v>20</v>
      </c>
      <c r="K26" s="267" t="s">
        <v>1641</v>
      </c>
      <c r="L26" s="265" t="n">
        <v>10</v>
      </c>
      <c r="M26" s="264" t="s">
        <v>1705</v>
      </c>
    </row>
    <row r="27" customFormat="false" ht="68.65" hidden="false" customHeight="false" outlineLevel="0" collapsed="false">
      <c r="A27" s="264" t="s">
        <v>1638</v>
      </c>
      <c r="B27" s="264" t="s">
        <v>1706</v>
      </c>
      <c r="C27" s="264" t="s">
        <v>1707</v>
      </c>
      <c r="D27" s="265" t="n">
        <v>64</v>
      </c>
      <c r="E27" s="266" t="n">
        <v>124</v>
      </c>
      <c r="F27" s="266" t="n">
        <v>75</v>
      </c>
      <c r="G27" s="266" t="n">
        <v>43</v>
      </c>
      <c r="H27" s="265" t="n">
        <v>3</v>
      </c>
      <c r="I27" s="265" t="n">
        <v>8</v>
      </c>
      <c r="J27" s="265" t="n">
        <v>7</v>
      </c>
      <c r="K27" s="267" t="s">
        <v>1641</v>
      </c>
      <c r="L27" s="265" t="n">
        <v>11</v>
      </c>
      <c r="M27" s="264" t="s">
        <v>1708</v>
      </c>
    </row>
    <row r="28" customFormat="false" ht="57.45" hidden="false" customHeight="false" outlineLevel="0" collapsed="false">
      <c r="A28" s="264" t="s">
        <v>1638</v>
      </c>
      <c r="B28" s="264" t="s">
        <v>1709</v>
      </c>
      <c r="C28" s="264" t="s">
        <v>1710</v>
      </c>
      <c r="D28" s="265" t="n">
        <v>31</v>
      </c>
      <c r="E28" s="266" t="n">
        <v>146.5</v>
      </c>
      <c r="F28" s="266" t="n">
        <v>149.8</v>
      </c>
      <c r="G28" s="266" t="n">
        <v>180.11</v>
      </c>
      <c r="H28" s="265" t="n">
        <v>8</v>
      </c>
      <c r="I28" s="265" t="n">
        <v>9</v>
      </c>
      <c r="J28" s="265" t="n">
        <v>16</v>
      </c>
      <c r="K28" s="267" t="s">
        <v>1641</v>
      </c>
      <c r="L28" s="265" t="n">
        <v>11</v>
      </c>
      <c r="M28" s="264" t="s">
        <v>1711</v>
      </c>
    </row>
    <row r="29" customFormat="false" ht="35.05" hidden="false" customHeight="false" outlineLevel="0" collapsed="false">
      <c r="A29" s="264" t="s">
        <v>1638</v>
      </c>
      <c r="B29" s="264" t="s">
        <v>1712</v>
      </c>
      <c r="C29" s="264" t="s">
        <v>1713</v>
      </c>
      <c r="D29" s="265" t="n">
        <v>50</v>
      </c>
      <c r="E29" s="266" t="n">
        <v>29</v>
      </c>
      <c r="F29" s="266" t="n">
        <v>33</v>
      </c>
      <c r="G29" s="266" t="n">
        <v>34</v>
      </c>
      <c r="H29" s="265" t="n">
        <v>20</v>
      </c>
      <c r="I29" s="265" t="n">
        <v>24</v>
      </c>
      <c r="J29" s="265" t="n">
        <v>20</v>
      </c>
      <c r="K29" s="267" t="s">
        <v>1641</v>
      </c>
      <c r="L29" s="265" t="n">
        <v>12</v>
      </c>
      <c r="M29" s="264" t="s">
        <v>1714</v>
      </c>
    </row>
    <row r="30" customFormat="false" ht="79.85" hidden="false" customHeight="false" outlineLevel="0" collapsed="false">
      <c r="A30" s="264" t="s">
        <v>1638</v>
      </c>
      <c r="B30" s="264" t="s">
        <v>1715</v>
      </c>
      <c r="C30" s="264" t="s">
        <v>1716</v>
      </c>
      <c r="D30" s="265" t="n">
        <v>96</v>
      </c>
      <c r="E30" s="266" t="n">
        <v>52.1</v>
      </c>
      <c r="F30" s="266" t="n">
        <v>52.5</v>
      </c>
      <c r="G30" s="266" t="n">
        <v>29.5</v>
      </c>
      <c r="H30" s="265" t="n">
        <v>44</v>
      </c>
      <c r="I30" s="265" t="n">
        <v>46</v>
      </c>
      <c r="J30" s="265" t="n">
        <v>20</v>
      </c>
      <c r="K30" s="267" t="s">
        <v>1641</v>
      </c>
      <c r="L30" s="265" t="n">
        <v>12</v>
      </c>
      <c r="M30" s="264" t="s">
        <v>1717</v>
      </c>
    </row>
    <row r="31" customFormat="false" ht="124.6" hidden="false" customHeight="false" outlineLevel="0" collapsed="false">
      <c r="A31" s="264" t="s">
        <v>1638</v>
      </c>
      <c r="B31" s="264" t="s">
        <v>1718</v>
      </c>
      <c r="C31" s="264" t="s">
        <v>1719</v>
      </c>
      <c r="D31" s="265" t="n">
        <v>35</v>
      </c>
      <c r="E31" s="266" t="n">
        <v>8.5</v>
      </c>
      <c r="F31" s="266" t="n">
        <v>22.08</v>
      </c>
      <c r="G31" s="266" t="n">
        <v>21.03</v>
      </c>
      <c r="H31" s="265" t="n">
        <v>2</v>
      </c>
      <c r="I31" s="265" t="n">
        <v>2</v>
      </c>
      <c r="J31" s="265" t="n">
        <v>1</v>
      </c>
      <c r="K31" s="267" t="s">
        <v>1641</v>
      </c>
      <c r="L31" s="265" t="n">
        <v>13</v>
      </c>
      <c r="M31" s="264" t="s">
        <v>1720</v>
      </c>
    </row>
    <row r="32" customFormat="false" ht="35.05" hidden="false" customHeight="false" outlineLevel="0" collapsed="false">
      <c r="A32" s="264" t="s">
        <v>1638</v>
      </c>
      <c r="B32" s="264" t="s">
        <v>1721</v>
      </c>
      <c r="C32" s="264" t="s">
        <v>1722</v>
      </c>
      <c r="D32" s="265" t="n">
        <v>230</v>
      </c>
      <c r="E32" s="266" t="n">
        <v>794.49</v>
      </c>
      <c r="F32" s="266" t="n">
        <v>807</v>
      </c>
      <c r="G32" s="266" t="n">
        <v>773</v>
      </c>
      <c r="H32" s="265" t="n">
        <v>29</v>
      </c>
      <c r="I32" s="265" t="n">
        <v>27</v>
      </c>
      <c r="J32" s="265" t="n">
        <v>33</v>
      </c>
      <c r="K32" s="267" t="s">
        <v>1641</v>
      </c>
      <c r="L32" s="265" t="n">
        <v>13</v>
      </c>
      <c r="M32" s="264" t="s">
        <v>1723</v>
      </c>
    </row>
    <row r="33" customFormat="false" ht="68.65" hidden="false" customHeight="false" outlineLevel="0" collapsed="false">
      <c r="A33" s="264" t="s">
        <v>1638</v>
      </c>
      <c r="B33" s="264" t="s">
        <v>1724</v>
      </c>
      <c r="C33" s="264" t="s">
        <v>1725</v>
      </c>
      <c r="D33" s="265" t="n">
        <v>56</v>
      </c>
      <c r="E33" s="266" t="n">
        <v>419.37</v>
      </c>
      <c r="F33" s="266" t="n">
        <v>465</v>
      </c>
      <c r="G33" s="266" t="n">
        <v>599</v>
      </c>
      <c r="H33" s="265" t="n">
        <v>11</v>
      </c>
      <c r="I33" s="265" t="n">
        <v>12</v>
      </c>
      <c r="J33" s="265" t="n">
        <v>11</v>
      </c>
      <c r="K33" s="267" t="s">
        <v>1641</v>
      </c>
      <c r="L33" s="265" t="n">
        <v>14</v>
      </c>
      <c r="M33" s="264" t="s">
        <v>1726</v>
      </c>
    </row>
    <row r="34" customFormat="false" ht="113.4" hidden="false" customHeight="false" outlineLevel="0" collapsed="false">
      <c r="A34" s="264" t="s">
        <v>1638</v>
      </c>
      <c r="B34" s="264" t="s">
        <v>1727</v>
      </c>
      <c r="C34" s="264" t="s">
        <v>1728</v>
      </c>
      <c r="D34" s="265" t="n">
        <v>13</v>
      </c>
      <c r="E34" s="266" t="n">
        <v>801.05</v>
      </c>
      <c r="F34" s="266" t="n">
        <v>682</v>
      </c>
      <c r="G34" s="266" t="n">
        <v>1063</v>
      </c>
      <c r="H34" s="265" t="n">
        <v>10</v>
      </c>
      <c r="I34" s="265" t="n">
        <v>12</v>
      </c>
      <c r="J34" s="265" t="n">
        <v>12</v>
      </c>
      <c r="K34" s="267" t="s">
        <v>1641</v>
      </c>
      <c r="L34" s="265" t="n">
        <v>14</v>
      </c>
      <c r="M34" s="264" t="s">
        <v>1729</v>
      </c>
    </row>
    <row r="35" customFormat="false" ht="91" hidden="false" customHeight="false" outlineLevel="0" collapsed="false">
      <c r="A35" s="264" t="s">
        <v>1730</v>
      </c>
      <c r="B35" s="264" t="s">
        <v>1731</v>
      </c>
      <c r="C35" s="264" t="s">
        <v>1732</v>
      </c>
      <c r="D35" s="265" t="n">
        <v>25</v>
      </c>
      <c r="E35" s="266" t="n">
        <v>0</v>
      </c>
      <c r="F35" s="266" t="n">
        <v>0.13</v>
      </c>
      <c r="G35" s="266" t="n">
        <v>0.12</v>
      </c>
      <c r="H35" s="265" t="n">
        <v>1</v>
      </c>
      <c r="I35" s="265" t="n">
        <v>1</v>
      </c>
      <c r="J35" s="265" t="n">
        <v>6</v>
      </c>
      <c r="K35" s="267" t="s">
        <v>1641</v>
      </c>
      <c r="L35" s="265" t="n">
        <v>16</v>
      </c>
      <c r="M35" s="264" t="s">
        <v>1733</v>
      </c>
    </row>
    <row r="36" customFormat="false" ht="35.05" hidden="false" customHeight="false" outlineLevel="0" collapsed="false">
      <c r="A36" s="264" t="s">
        <v>1730</v>
      </c>
      <c r="B36" s="264" t="s">
        <v>1734</v>
      </c>
      <c r="C36" s="264" t="s">
        <v>1735</v>
      </c>
      <c r="D36" s="265" t="n">
        <v>15</v>
      </c>
      <c r="E36" s="266" t="n">
        <v>0</v>
      </c>
      <c r="F36" s="266" t="n">
        <v>46</v>
      </c>
      <c r="G36" s="266" t="n">
        <v>0</v>
      </c>
      <c r="H36" s="265" t="n">
        <v>0</v>
      </c>
      <c r="I36" s="265" t="n">
        <v>1</v>
      </c>
      <c r="J36" s="265" t="n">
        <v>1</v>
      </c>
      <c r="K36" s="267" t="s">
        <v>1641</v>
      </c>
      <c r="L36" s="265" t="n">
        <v>16</v>
      </c>
      <c r="M36" s="264" t="s">
        <v>1736</v>
      </c>
    </row>
    <row r="37" customFormat="false" ht="35.05" hidden="false" customHeight="false" outlineLevel="0" collapsed="false">
      <c r="A37" s="264" t="s">
        <v>1730</v>
      </c>
      <c r="B37" s="264" t="s">
        <v>1737</v>
      </c>
      <c r="C37" s="264" t="s">
        <v>1738</v>
      </c>
      <c r="D37" s="265" t="n">
        <v>30</v>
      </c>
      <c r="E37" s="266" t="n">
        <v>2.6</v>
      </c>
      <c r="F37" s="266" t="n">
        <v>4.8</v>
      </c>
      <c r="G37" s="266" t="n">
        <v>0</v>
      </c>
      <c r="H37" s="265" t="n">
        <v>2</v>
      </c>
      <c r="I37" s="265" t="n">
        <v>2</v>
      </c>
      <c r="J37" s="265" t="n">
        <v>0</v>
      </c>
      <c r="K37" s="267" t="s">
        <v>1641</v>
      </c>
      <c r="L37" s="265" t="n">
        <v>16</v>
      </c>
      <c r="M37" s="264" t="s">
        <v>1739</v>
      </c>
    </row>
    <row r="38" customFormat="false" ht="79.85" hidden="false" customHeight="false" outlineLevel="0" collapsed="false">
      <c r="A38" s="264" t="s">
        <v>1730</v>
      </c>
      <c r="B38" s="264" t="s">
        <v>1740</v>
      </c>
      <c r="C38" s="264" t="s">
        <v>1741</v>
      </c>
      <c r="D38" s="265" t="n">
        <v>3</v>
      </c>
      <c r="E38" s="266" t="n">
        <v>0</v>
      </c>
      <c r="F38" s="266" t="n">
        <v>0</v>
      </c>
      <c r="G38" s="266" t="n">
        <v>4.32</v>
      </c>
      <c r="H38" s="265" t="n">
        <v>0</v>
      </c>
      <c r="I38" s="265" t="n">
        <v>1</v>
      </c>
      <c r="J38" s="265" t="n">
        <v>1</v>
      </c>
      <c r="K38" s="267" t="s">
        <v>1641</v>
      </c>
      <c r="L38" s="265" t="n">
        <v>17</v>
      </c>
      <c r="M38" s="264" t="s">
        <v>1742</v>
      </c>
    </row>
    <row r="39" customFormat="false" ht="23.85" hidden="false" customHeight="false" outlineLevel="0" collapsed="false">
      <c r="A39" s="264" t="s">
        <v>1730</v>
      </c>
      <c r="B39" s="264" t="s">
        <v>1743</v>
      </c>
      <c r="C39" s="264" t="s">
        <v>1744</v>
      </c>
      <c r="D39" s="265" t="n">
        <v>18</v>
      </c>
      <c r="E39" s="266" t="n">
        <v>0</v>
      </c>
      <c r="F39" s="266" t="n">
        <v>0</v>
      </c>
      <c r="G39" s="266" t="n">
        <v>0</v>
      </c>
      <c r="H39" s="265" t="n">
        <v>2</v>
      </c>
      <c r="I39" s="265" t="n">
        <v>1</v>
      </c>
      <c r="J39" s="265" t="n">
        <v>2</v>
      </c>
      <c r="K39" s="267" t="s">
        <v>1641</v>
      </c>
      <c r="L39" s="265" t="n">
        <v>17</v>
      </c>
      <c r="M39" s="264" t="s">
        <v>1745</v>
      </c>
    </row>
    <row r="40" customFormat="false" ht="35.05" hidden="false" customHeight="false" outlineLevel="0" collapsed="false">
      <c r="A40" s="264" t="s">
        <v>1730</v>
      </c>
      <c r="B40" s="264" t="s">
        <v>1746</v>
      </c>
      <c r="C40" s="264" t="s">
        <v>1747</v>
      </c>
      <c r="D40" s="265" t="n">
        <v>9</v>
      </c>
      <c r="E40" s="266" t="n">
        <v>0</v>
      </c>
      <c r="F40" s="266" t="n">
        <v>0</v>
      </c>
      <c r="G40" s="266" t="n">
        <v>0</v>
      </c>
      <c r="H40" s="265" t="n">
        <v>12</v>
      </c>
      <c r="I40" s="265" t="n">
        <v>12</v>
      </c>
      <c r="J40" s="265" t="n">
        <v>12</v>
      </c>
      <c r="K40" s="267" t="s">
        <v>1641</v>
      </c>
      <c r="L40" s="265" t="n">
        <v>17</v>
      </c>
      <c r="M40" s="264" t="s">
        <v>1748</v>
      </c>
    </row>
    <row r="41" customFormat="false" ht="68.65" hidden="false" customHeight="false" outlineLevel="0" collapsed="false">
      <c r="A41" s="264" t="s">
        <v>1730</v>
      </c>
      <c r="B41" s="264" t="s">
        <v>1749</v>
      </c>
      <c r="C41" s="264" t="s">
        <v>1750</v>
      </c>
      <c r="D41" s="265" t="n">
        <v>14</v>
      </c>
      <c r="E41" s="266" t="n">
        <v>0</v>
      </c>
      <c r="F41" s="266" t="n">
        <v>0</v>
      </c>
      <c r="G41" s="266" t="n">
        <v>0</v>
      </c>
      <c r="H41" s="265" t="n">
        <v>4</v>
      </c>
      <c r="I41" s="265" t="n">
        <v>6</v>
      </c>
      <c r="J41" s="265" t="n">
        <v>6</v>
      </c>
      <c r="K41" s="267" t="s">
        <v>1641</v>
      </c>
      <c r="L41" s="265" t="n">
        <v>18</v>
      </c>
      <c r="M41" s="264" t="s">
        <v>1751</v>
      </c>
    </row>
    <row r="42" customFormat="false" ht="68.65" hidden="false" customHeight="false" outlineLevel="0" collapsed="false">
      <c r="A42" s="264" t="s">
        <v>1730</v>
      </c>
      <c r="B42" s="264" t="s">
        <v>1752</v>
      </c>
      <c r="C42" s="264" t="s">
        <v>1753</v>
      </c>
      <c r="D42" s="265" t="n">
        <v>21</v>
      </c>
      <c r="E42" s="266" t="n">
        <v>0.5</v>
      </c>
      <c r="F42" s="266" t="n">
        <v>0.5</v>
      </c>
      <c r="G42" s="266" t="n">
        <v>0.67</v>
      </c>
      <c r="H42" s="265" t="n">
        <v>3</v>
      </c>
      <c r="I42" s="265" t="n">
        <v>3</v>
      </c>
      <c r="J42" s="265" t="n">
        <v>4</v>
      </c>
      <c r="K42" s="267" t="s">
        <v>1641</v>
      </c>
      <c r="L42" s="265" t="n">
        <v>18</v>
      </c>
      <c r="M42" s="264" t="s">
        <v>1754</v>
      </c>
    </row>
    <row r="43" customFormat="false" ht="46.25" hidden="false" customHeight="false" outlineLevel="0" collapsed="false">
      <c r="A43" s="264" t="s">
        <v>1730</v>
      </c>
      <c r="B43" s="264" t="s">
        <v>1755</v>
      </c>
      <c r="C43" s="264" t="s">
        <v>1756</v>
      </c>
      <c r="D43" s="265" t="n">
        <v>620</v>
      </c>
      <c r="E43" s="266" t="n">
        <v>416</v>
      </c>
      <c r="F43" s="266" t="n">
        <v>434</v>
      </c>
      <c r="G43" s="266" t="n">
        <v>468</v>
      </c>
      <c r="H43" s="265" t="n">
        <v>17</v>
      </c>
      <c r="I43" s="265" t="n">
        <v>25</v>
      </c>
      <c r="J43" s="265" t="n">
        <v>21</v>
      </c>
      <c r="K43" s="267" t="s">
        <v>1641</v>
      </c>
      <c r="L43" s="265" t="n">
        <v>18</v>
      </c>
      <c r="M43" s="264" t="s">
        <v>1757</v>
      </c>
    </row>
    <row r="44" customFormat="false" ht="23.85" hidden="false" customHeight="false" outlineLevel="0" collapsed="false">
      <c r="A44" s="264" t="s">
        <v>1730</v>
      </c>
      <c r="B44" s="264" t="s">
        <v>1758</v>
      </c>
      <c r="C44" s="264" t="s">
        <v>1759</v>
      </c>
      <c r="D44" s="265" t="n">
        <v>14</v>
      </c>
      <c r="E44" s="266" t="n">
        <v>43</v>
      </c>
      <c r="F44" s="266" t="n">
        <v>17.8</v>
      </c>
      <c r="G44" s="266" t="n">
        <v>18.08</v>
      </c>
      <c r="H44" s="265" t="n">
        <v>4</v>
      </c>
      <c r="I44" s="265" t="n">
        <v>3</v>
      </c>
      <c r="J44" s="265" t="n">
        <v>4</v>
      </c>
      <c r="K44" s="267" t="s">
        <v>1641</v>
      </c>
      <c r="L44" s="265" t="n">
        <v>20</v>
      </c>
      <c r="M44" s="264" t="s">
        <v>1760</v>
      </c>
    </row>
    <row r="45" customFormat="false" ht="23.85" hidden="false" customHeight="false" outlineLevel="0" collapsed="false">
      <c r="A45" s="264" t="s">
        <v>1730</v>
      </c>
      <c r="B45" s="264" t="s">
        <v>1761</v>
      </c>
      <c r="C45" s="264" t="s">
        <v>1762</v>
      </c>
      <c r="D45" s="265" t="n">
        <v>64</v>
      </c>
      <c r="E45" s="266" t="n">
        <v>0</v>
      </c>
      <c r="F45" s="266" t="n">
        <v>11.6</v>
      </c>
      <c r="G45" s="266" t="n">
        <v>46</v>
      </c>
      <c r="H45" s="265" t="n">
        <v>1</v>
      </c>
      <c r="I45" s="265" t="n">
        <v>3</v>
      </c>
      <c r="J45" s="265" t="n">
        <v>2</v>
      </c>
      <c r="K45" s="267" t="s">
        <v>1641</v>
      </c>
      <c r="L45" s="265" t="n">
        <v>20</v>
      </c>
      <c r="M45" s="264" t="s">
        <v>1763</v>
      </c>
    </row>
    <row r="46" customFormat="false" ht="46.25" hidden="false" customHeight="false" outlineLevel="0" collapsed="false">
      <c r="A46" s="264" t="s">
        <v>1730</v>
      </c>
      <c r="B46" s="264" t="s">
        <v>1764</v>
      </c>
      <c r="C46" s="264" t="s">
        <v>1765</v>
      </c>
      <c r="D46" s="265" t="n">
        <v>25</v>
      </c>
      <c r="E46" s="266" t="n">
        <v>0</v>
      </c>
      <c r="F46" s="266" t="n">
        <v>0</v>
      </c>
      <c r="G46" s="266" t="n">
        <v>0</v>
      </c>
      <c r="H46" s="265" t="n">
        <v>6</v>
      </c>
      <c r="I46" s="265" t="n">
        <v>6</v>
      </c>
      <c r="J46" s="265" t="n">
        <v>10</v>
      </c>
      <c r="K46" s="267" t="s">
        <v>1641</v>
      </c>
      <c r="L46" s="265" t="n">
        <v>21</v>
      </c>
      <c r="M46" s="264" t="s">
        <v>1766</v>
      </c>
    </row>
    <row r="47" customFormat="false" ht="46.25" hidden="false" customHeight="false" outlineLevel="0" collapsed="false">
      <c r="A47" s="264" t="s">
        <v>1730</v>
      </c>
      <c r="B47" s="264" t="s">
        <v>1767</v>
      </c>
      <c r="C47" s="264" t="s">
        <v>1768</v>
      </c>
      <c r="D47" s="265" t="n">
        <v>30</v>
      </c>
      <c r="E47" s="266" t="n">
        <v>46.62</v>
      </c>
      <c r="F47" s="266" t="n">
        <v>42.55</v>
      </c>
      <c r="G47" s="266" t="n">
        <v>105.23</v>
      </c>
      <c r="H47" s="265" t="n">
        <v>10</v>
      </c>
      <c r="I47" s="265" t="n">
        <v>10</v>
      </c>
      <c r="J47" s="265" t="n">
        <v>10</v>
      </c>
      <c r="K47" s="267" t="s">
        <v>1641</v>
      </c>
      <c r="L47" s="265" t="n">
        <v>21</v>
      </c>
      <c r="M47" s="264" t="s">
        <v>1769</v>
      </c>
    </row>
    <row r="48" customFormat="false" ht="35.05" hidden="false" customHeight="false" outlineLevel="0" collapsed="false">
      <c r="A48" s="264" t="s">
        <v>1730</v>
      </c>
      <c r="B48" s="264" t="s">
        <v>1770</v>
      </c>
      <c r="C48" s="264" t="s">
        <v>1771</v>
      </c>
      <c r="D48" s="265" t="n">
        <v>99</v>
      </c>
      <c r="E48" s="266" t="n">
        <v>7.63</v>
      </c>
      <c r="F48" s="266" t="n">
        <v>7.39</v>
      </c>
      <c r="G48" s="266" t="n">
        <v>9.64</v>
      </c>
      <c r="H48" s="265" t="n">
        <v>12</v>
      </c>
      <c r="I48" s="265" t="n">
        <v>11</v>
      </c>
      <c r="J48" s="265" t="n">
        <v>15</v>
      </c>
      <c r="K48" s="267" t="s">
        <v>1641</v>
      </c>
      <c r="L48" s="265" t="n">
        <v>21</v>
      </c>
      <c r="M48" s="264" t="s">
        <v>1772</v>
      </c>
    </row>
    <row r="49" customFormat="false" ht="57.45" hidden="false" customHeight="false" outlineLevel="0" collapsed="false">
      <c r="A49" s="264" t="s">
        <v>1730</v>
      </c>
      <c r="B49" s="264" t="s">
        <v>1773</v>
      </c>
      <c r="C49" s="264" t="s">
        <v>1774</v>
      </c>
      <c r="D49" s="265" t="n">
        <v>18</v>
      </c>
      <c r="E49" s="266" t="n">
        <v>103</v>
      </c>
      <c r="F49" s="266" t="n">
        <v>96.45</v>
      </c>
      <c r="G49" s="266" t="n">
        <v>105.06</v>
      </c>
      <c r="H49" s="265" t="n">
        <v>20</v>
      </c>
      <c r="I49" s="265" t="n">
        <v>21</v>
      </c>
      <c r="J49" s="265" t="n">
        <v>16</v>
      </c>
      <c r="K49" s="267" t="s">
        <v>1641</v>
      </c>
      <c r="L49" s="265" t="n">
        <v>21</v>
      </c>
      <c r="M49" s="264" t="s">
        <v>1775</v>
      </c>
    </row>
    <row r="50" customFormat="false" ht="46.25" hidden="false" customHeight="false" outlineLevel="0" collapsed="false">
      <c r="A50" s="264" t="s">
        <v>1730</v>
      </c>
      <c r="B50" s="264" t="s">
        <v>1776</v>
      </c>
      <c r="C50" s="264" t="s">
        <v>1777</v>
      </c>
      <c r="D50" s="265" t="n">
        <v>43</v>
      </c>
      <c r="E50" s="266" t="n">
        <v>1.2</v>
      </c>
      <c r="F50" s="266" t="n">
        <v>1.2</v>
      </c>
      <c r="G50" s="266" t="n">
        <v>1.2</v>
      </c>
      <c r="H50" s="265" t="n">
        <v>10</v>
      </c>
      <c r="I50" s="265" t="n">
        <v>11</v>
      </c>
      <c r="J50" s="265" t="n">
        <v>11</v>
      </c>
      <c r="K50" s="267" t="s">
        <v>1641</v>
      </c>
      <c r="L50" s="265" t="n">
        <v>22</v>
      </c>
      <c r="M50" s="264" t="s">
        <v>1778</v>
      </c>
    </row>
    <row r="51" customFormat="false" ht="23.85" hidden="false" customHeight="false" outlineLevel="0" collapsed="false">
      <c r="A51" s="264" t="s">
        <v>1730</v>
      </c>
      <c r="B51" s="264" t="s">
        <v>1779</v>
      </c>
      <c r="C51" s="264" t="s">
        <v>1780</v>
      </c>
      <c r="D51" s="265" t="n">
        <v>30</v>
      </c>
      <c r="E51" s="266" t="n">
        <v>0</v>
      </c>
      <c r="F51" s="266" t="n">
        <v>0</v>
      </c>
      <c r="G51" s="266" t="n">
        <v>0</v>
      </c>
      <c r="H51" s="265" t="n">
        <v>0</v>
      </c>
      <c r="I51" s="265" t="n">
        <v>0</v>
      </c>
      <c r="J51" s="265" t="n">
        <v>0</v>
      </c>
      <c r="K51" s="267" t="s">
        <v>1641</v>
      </c>
      <c r="L51" s="265" t="n">
        <v>22</v>
      </c>
      <c r="M51" s="264" t="s">
        <v>1781</v>
      </c>
    </row>
    <row r="52" customFormat="false" ht="23.85" hidden="false" customHeight="false" outlineLevel="0" collapsed="false">
      <c r="A52" s="264" t="s">
        <v>1730</v>
      </c>
      <c r="B52" s="264" t="s">
        <v>1782</v>
      </c>
      <c r="C52" s="264" t="s">
        <v>1783</v>
      </c>
      <c r="D52" s="265" t="n">
        <v>14</v>
      </c>
      <c r="E52" s="266" t="n">
        <v>2.3</v>
      </c>
      <c r="F52" s="266" t="n">
        <v>2</v>
      </c>
      <c r="G52" s="266" t="n">
        <v>0</v>
      </c>
      <c r="H52" s="265" t="n">
        <v>4</v>
      </c>
      <c r="I52" s="265" t="n">
        <v>4</v>
      </c>
      <c r="J52" s="265" t="n">
        <v>0</v>
      </c>
      <c r="K52" s="267" t="s">
        <v>1641</v>
      </c>
      <c r="L52" s="265" t="n">
        <v>22</v>
      </c>
      <c r="M52" s="264" t="s">
        <v>1784</v>
      </c>
    </row>
    <row r="53" customFormat="false" ht="46.25" hidden="false" customHeight="false" outlineLevel="0" collapsed="false">
      <c r="A53" s="264" t="s">
        <v>1730</v>
      </c>
      <c r="B53" s="264" t="s">
        <v>1785</v>
      </c>
      <c r="C53" s="264" t="s">
        <v>1786</v>
      </c>
      <c r="D53" s="265" t="n">
        <v>15</v>
      </c>
      <c r="E53" s="266" t="n">
        <v>62.6</v>
      </c>
      <c r="F53" s="266" t="n">
        <v>67.3</v>
      </c>
      <c r="G53" s="266" t="n">
        <v>63.2</v>
      </c>
      <c r="H53" s="265" t="n">
        <v>9</v>
      </c>
      <c r="I53" s="265" t="n">
        <v>11</v>
      </c>
      <c r="J53" s="265" t="n">
        <v>11</v>
      </c>
      <c r="K53" s="267" t="s">
        <v>1641</v>
      </c>
      <c r="L53" s="265" t="n">
        <v>23</v>
      </c>
      <c r="M53" s="264" t="s">
        <v>1787</v>
      </c>
    </row>
    <row r="54" customFormat="false" ht="57.45" hidden="false" customHeight="false" outlineLevel="0" collapsed="false">
      <c r="A54" s="264" t="s">
        <v>1730</v>
      </c>
      <c r="B54" s="264" t="s">
        <v>1788</v>
      </c>
      <c r="C54" s="264" t="s">
        <v>1789</v>
      </c>
      <c r="D54" s="265" t="n">
        <v>41</v>
      </c>
      <c r="E54" s="266" t="n">
        <v>1.31</v>
      </c>
      <c r="F54" s="266" t="n">
        <v>4.26</v>
      </c>
      <c r="G54" s="266" t="n">
        <v>2.1</v>
      </c>
      <c r="H54" s="265" t="n">
        <v>6</v>
      </c>
      <c r="I54" s="265" t="n">
        <v>16</v>
      </c>
      <c r="J54" s="265" t="n">
        <v>13</v>
      </c>
      <c r="K54" s="267" t="s">
        <v>1641</v>
      </c>
      <c r="L54" s="265" t="n">
        <v>23</v>
      </c>
      <c r="M54" s="264" t="s">
        <v>1790</v>
      </c>
    </row>
    <row r="55" customFormat="false" ht="68.65" hidden="false" customHeight="false" outlineLevel="0" collapsed="false">
      <c r="A55" s="264" t="s">
        <v>1730</v>
      </c>
      <c r="B55" s="264" t="s">
        <v>1791</v>
      </c>
      <c r="C55" s="264" t="s">
        <v>1792</v>
      </c>
      <c r="D55" s="265" t="n">
        <v>9</v>
      </c>
      <c r="E55" s="266" t="n">
        <v>2</v>
      </c>
      <c r="F55" s="266" t="n">
        <v>2</v>
      </c>
      <c r="G55" s="266" t="n">
        <v>2</v>
      </c>
      <c r="H55" s="265" t="n">
        <v>15</v>
      </c>
      <c r="I55" s="265" t="n">
        <v>15</v>
      </c>
      <c r="J55" s="265" t="n">
        <v>15</v>
      </c>
      <c r="K55" s="267" t="s">
        <v>1641</v>
      </c>
      <c r="L55" s="265" t="n">
        <v>23</v>
      </c>
      <c r="M55" s="264" t="s">
        <v>1793</v>
      </c>
    </row>
    <row r="56" customFormat="false" ht="23.85" hidden="false" customHeight="false" outlineLevel="0" collapsed="false">
      <c r="A56" s="264" t="s">
        <v>1730</v>
      </c>
      <c r="B56" s="264" t="s">
        <v>1794</v>
      </c>
      <c r="C56" s="264" t="s">
        <v>1795</v>
      </c>
      <c r="D56" s="265" t="n">
        <v>18</v>
      </c>
      <c r="E56" s="266" t="n">
        <v>1.6</v>
      </c>
      <c r="F56" s="266" t="n">
        <v>2</v>
      </c>
      <c r="G56" s="266" t="n">
        <v>1.5</v>
      </c>
      <c r="H56" s="265" t="n">
        <v>4</v>
      </c>
      <c r="I56" s="265" t="n">
        <v>4</v>
      </c>
      <c r="J56" s="265" t="n">
        <v>4</v>
      </c>
      <c r="K56" s="267" t="s">
        <v>1641</v>
      </c>
      <c r="L56" s="265" t="n">
        <v>23</v>
      </c>
      <c r="M56" s="264" t="s">
        <v>1796</v>
      </c>
    </row>
    <row r="57" customFormat="false" ht="57.45" hidden="false" customHeight="false" outlineLevel="0" collapsed="false">
      <c r="A57" s="264" t="s">
        <v>1730</v>
      </c>
      <c r="B57" s="264" t="s">
        <v>1797</v>
      </c>
      <c r="C57" s="264" t="s">
        <v>1798</v>
      </c>
      <c r="D57" s="265" t="n">
        <v>34</v>
      </c>
      <c r="E57" s="266" t="n">
        <v>1.6</v>
      </c>
      <c r="F57" s="266" t="n">
        <v>3.2</v>
      </c>
      <c r="G57" s="266" t="n">
        <v>6.4</v>
      </c>
      <c r="H57" s="265" t="n">
        <v>9</v>
      </c>
      <c r="I57" s="265" t="n">
        <v>4</v>
      </c>
      <c r="J57" s="265" t="n">
        <v>7</v>
      </c>
      <c r="K57" s="267" t="s">
        <v>1641</v>
      </c>
      <c r="L57" s="265" t="n">
        <v>24</v>
      </c>
      <c r="M57" s="264" t="s">
        <v>1799</v>
      </c>
    </row>
    <row r="58" customFormat="false" ht="23.85" hidden="false" customHeight="false" outlineLevel="0" collapsed="false">
      <c r="A58" s="264" t="s">
        <v>1730</v>
      </c>
      <c r="B58" s="264" t="s">
        <v>1800</v>
      </c>
      <c r="C58" s="264" t="s">
        <v>1801</v>
      </c>
      <c r="D58" s="265" t="n">
        <v>23</v>
      </c>
      <c r="E58" s="266" t="n">
        <v>0</v>
      </c>
      <c r="F58" s="266" t="n">
        <v>0.13</v>
      </c>
      <c r="G58" s="266" t="n">
        <v>0.06</v>
      </c>
      <c r="H58" s="265" t="n">
        <v>3</v>
      </c>
      <c r="I58" s="265" t="n">
        <v>3</v>
      </c>
      <c r="J58" s="265" t="n">
        <v>4</v>
      </c>
      <c r="K58" s="267" t="s">
        <v>1641</v>
      </c>
      <c r="L58" s="265" t="n">
        <v>24</v>
      </c>
      <c r="M58" s="264" t="s">
        <v>1802</v>
      </c>
    </row>
    <row r="59" customFormat="false" ht="46.25" hidden="false" customHeight="false" outlineLevel="0" collapsed="false">
      <c r="A59" s="264" t="s">
        <v>1730</v>
      </c>
      <c r="B59" s="264" t="s">
        <v>1803</v>
      </c>
      <c r="C59" s="264" t="s">
        <v>1804</v>
      </c>
      <c r="D59" s="265" t="n">
        <v>16</v>
      </c>
      <c r="E59" s="266" t="n">
        <v>24.1</v>
      </c>
      <c r="F59" s="266" t="n">
        <v>22.4</v>
      </c>
      <c r="G59" s="266" t="n">
        <v>28.7</v>
      </c>
      <c r="H59" s="265" t="n">
        <v>11</v>
      </c>
      <c r="I59" s="265" t="n">
        <v>11</v>
      </c>
      <c r="J59" s="265" t="n">
        <v>11</v>
      </c>
      <c r="K59" s="267" t="s">
        <v>1641</v>
      </c>
      <c r="L59" s="265" t="n">
        <v>24</v>
      </c>
      <c r="M59" s="264" t="s">
        <v>1805</v>
      </c>
    </row>
    <row r="60" customFormat="false" ht="35.05" hidden="false" customHeight="false" outlineLevel="0" collapsed="false">
      <c r="A60" s="264" t="s">
        <v>1730</v>
      </c>
      <c r="B60" s="264" t="s">
        <v>1806</v>
      </c>
      <c r="C60" s="264" t="s">
        <v>1807</v>
      </c>
      <c r="D60" s="265" t="n">
        <v>32</v>
      </c>
      <c r="E60" s="266" t="n">
        <v>43.5</v>
      </c>
      <c r="F60" s="266" t="n">
        <v>40.26</v>
      </c>
      <c r="G60" s="266" t="n">
        <v>42.64</v>
      </c>
      <c r="H60" s="265" t="n">
        <v>16</v>
      </c>
      <c r="I60" s="265" t="n">
        <v>18</v>
      </c>
      <c r="J60" s="265" t="n">
        <v>19</v>
      </c>
      <c r="K60" s="267" t="s">
        <v>1641</v>
      </c>
      <c r="L60" s="265" t="n">
        <v>24</v>
      </c>
      <c r="M60" s="264" t="s">
        <v>1808</v>
      </c>
    </row>
    <row r="61" customFormat="false" ht="35.05" hidden="false" customHeight="false" outlineLevel="0" collapsed="false">
      <c r="A61" s="264" t="s">
        <v>1730</v>
      </c>
      <c r="B61" s="264" t="s">
        <v>1809</v>
      </c>
      <c r="C61" s="264" t="s">
        <v>1810</v>
      </c>
      <c r="D61" s="265" t="n">
        <v>36</v>
      </c>
      <c r="E61" s="266" t="n">
        <v>0</v>
      </c>
      <c r="F61" s="266" t="n">
        <v>0</v>
      </c>
      <c r="G61" s="266" t="n">
        <v>0</v>
      </c>
      <c r="H61" s="265" t="n">
        <v>5</v>
      </c>
      <c r="I61" s="265" t="n">
        <v>1</v>
      </c>
      <c r="J61" s="265" t="n">
        <v>1</v>
      </c>
      <c r="K61" s="267" t="s">
        <v>1641</v>
      </c>
      <c r="L61" s="265" t="n">
        <v>25</v>
      </c>
      <c r="M61" s="264" t="s">
        <v>1811</v>
      </c>
    </row>
    <row r="62" customFormat="false" ht="57.45" hidden="false" customHeight="false" outlineLevel="0" collapsed="false">
      <c r="A62" s="264" t="s">
        <v>1730</v>
      </c>
      <c r="B62" s="264" t="s">
        <v>1812</v>
      </c>
      <c r="C62" s="264" t="s">
        <v>1813</v>
      </c>
      <c r="D62" s="265" t="n">
        <v>20</v>
      </c>
      <c r="E62" s="266" t="n">
        <v>3.5</v>
      </c>
      <c r="F62" s="266" t="n">
        <v>8.7</v>
      </c>
      <c r="G62" s="266" t="n">
        <v>9.6</v>
      </c>
      <c r="H62" s="265" t="n">
        <v>9</v>
      </c>
      <c r="I62" s="265" t="n">
        <v>9</v>
      </c>
      <c r="J62" s="265" t="n">
        <v>8</v>
      </c>
      <c r="K62" s="267" t="s">
        <v>1641</v>
      </c>
      <c r="L62" s="265" t="n">
        <v>25</v>
      </c>
      <c r="M62" s="264" t="s">
        <v>1814</v>
      </c>
    </row>
    <row r="63" customFormat="false" ht="35.05" hidden="false" customHeight="false" outlineLevel="0" collapsed="false">
      <c r="A63" s="264" t="s">
        <v>1730</v>
      </c>
      <c r="B63" s="264" t="s">
        <v>1815</v>
      </c>
      <c r="C63" s="264" t="s">
        <v>1816</v>
      </c>
      <c r="D63" s="265" t="n">
        <v>24</v>
      </c>
      <c r="E63" s="266" t="n">
        <v>0</v>
      </c>
      <c r="F63" s="266" t="n">
        <v>0</v>
      </c>
      <c r="G63" s="266" t="n">
        <v>0</v>
      </c>
      <c r="H63" s="265" t="n">
        <v>0</v>
      </c>
      <c r="I63" s="265" t="n">
        <v>0</v>
      </c>
      <c r="J63" s="265" t="n">
        <v>1</v>
      </c>
      <c r="K63" s="267" t="s">
        <v>1641</v>
      </c>
      <c r="L63" s="265" t="n">
        <v>25</v>
      </c>
      <c r="M63" s="264" t="s">
        <v>1817</v>
      </c>
    </row>
    <row r="64" customFormat="false" ht="79.85" hidden="false" customHeight="false" outlineLevel="0" collapsed="false">
      <c r="A64" s="264" t="s">
        <v>1730</v>
      </c>
      <c r="B64" s="264" t="s">
        <v>1818</v>
      </c>
      <c r="C64" s="264" t="s">
        <v>1819</v>
      </c>
      <c r="D64" s="265" t="n">
        <v>100</v>
      </c>
      <c r="E64" s="266" t="n">
        <v>76.73</v>
      </c>
      <c r="F64" s="266" t="n">
        <v>68</v>
      </c>
      <c r="G64" s="266" t="n">
        <v>98.6</v>
      </c>
      <c r="H64" s="265" t="n">
        <v>18</v>
      </c>
      <c r="I64" s="265" t="n">
        <v>14</v>
      </c>
      <c r="J64" s="265" t="n">
        <v>15</v>
      </c>
      <c r="K64" s="267" t="s">
        <v>1641</v>
      </c>
      <c r="L64" s="265" t="n">
        <v>25</v>
      </c>
      <c r="M64" s="264" t="s">
        <v>1820</v>
      </c>
    </row>
    <row r="65" customFormat="false" ht="23.85" hidden="false" customHeight="false" outlineLevel="0" collapsed="false">
      <c r="A65" s="264" t="s">
        <v>1730</v>
      </c>
      <c r="B65" s="264" t="s">
        <v>1821</v>
      </c>
      <c r="C65" s="264" t="s">
        <v>1822</v>
      </c>
      <c r="D65" s="265" t="n">
        <v>24</v>
      </c>
      <c r="E65" s="266" t="n">
        <v>0</v>
      </c>
      <c r="F65" s="266" t="n">
        <v>0</v>
      </c>
      <c r="G65" s="266" t="n">
        <v>0</v>
      </c>
      <c r="H65" s="265" t="n">
        <v>0</v>
      </c>
      <c r="I65" s="265" t="n">
        <v>0</v>
      </c>
      <c r="J65" s="265" t="n">
        <v>0</v>
      </c>
      <c r="K65" s="267" t="s">
        <v>1641</v>
      </c>
      <c r="L65" s="265" t="n">
        <v>26</v>
      </c>
      <c r="M65" s="264" t="s">
        <v>1823</v>
      </c>
    </row>
    <row r="66" customFormat="false" ht="35.05" hidden="false" customHeight="false" outlineLevel="0" collapsed="false">
      <c r="A66" s="264" t="s">
        <v>1730</v>
      </c>
      <c r="B66" s="264" t="s">
        <v>1824</v>
      </c>
      <c r="C66" s="264" t="s">
        <v>1825</v>
      </c>
      <c r="D66" s="265" t="n">
        <v>32</v>
      </c>
      <c r="E66" s="266" t="n">
        <v>71</v>
      </c>
      <c r="F66" s="266" t="n">
        <v>57</v>
      </c>
      <c r="G66" s="266" t="n">
        <v>53.8</v>
      </c>
      <c r="H66" s="265" t="n">
        <v>29</v>
      </c>
      <c r="I66" s="265" t="n">
        <v>22</v>
      </c>
      <c r="J66" s="265" t="n">
        <v>33</v>
      </c>
      <c r="K66" s="267" t="s">
        <v>1641</v>
      </c>
      <c r="L66" s="265" t="n">
        <v>26</v>
      </c>
      <c r="M66" s="264" t="s">
        <v>1826</v>
      </c>
    </row>
    <row r="67" customFormat="false" ht="102.2" hidden="false" customHeight="false" outlineLevel="0" collapsed="false">
      <c r="A67" s="264" t="s">
        <v>1730</v>
      </c>
      <c r="B67" s="264" t="s">
        <v>1827</v>
      </c>
      <c r="C67" s="264" t="s">
        <v>1828</v>
      </c>
      <c r="D67" s="265"/>
      <c r="E67" s="266" t="n">
        <v>5024</v>
      </c>
      <c r="F67" s="266" t="n">
        <v>5184</v>
      </c>
      <c r="G67" s="266" t="n">
        <v>6486</v>
      </c>
      <c r="H67" s="265" t="n">
        <v>565</v>
      </c>
      <c r="I67" s="265" t="n">
        <v>696</v>
      </c>
      <c r="J67" s="265" t="n">
        <v>504</v>
      </c>
      <c r="K67" s="267" t="s">
        <v>1641</v>
      </c>
      <c r="L67" s="265" t="n">
        <v>26</v>
      </c>
      <c r="M67" s="264" t="s">
        <v>1829</v>
      </c>
    </row>
    <row r="68" customFormat="false" ht="35.05" hidden="false" customHeight="false" outlineLevel="0" collapsed="false">
      <c r="A68" s="264" t="s">
        <v>1730</v>
      </c>
      <c r="B68" s="264" t="s">
        <v>1830</v>
      </c>
      <c r="C68" s="264" t="s">
        <v>1831</v>
      </c>
      <c r="D68" s="265" t="n">
        <v>26</v>
      </c>
      <c r="E68" s="266" t="n">
        <v>0</v>
      </c>
      <c r="F68" s="266" t="n">
        <v>0</v>
      </c>
      <c r="G68" s="266" t="n">
        <v>0</v>
      </c>
      <c r="H68" s="265" t="n">
        <v>0</v>
      </c>
      <c r="I68" s="265" t="n">
        <v>0</v>
      </c>
      <c r="J68" s="265" t="n">
        <v>0</v>
      </c>
      <c r="K68" s="267" t="s">
        <v>1641</v>
      </c>
      <c r="L68" s="265" t="n">
        <v>27</v>
      </c>
      <c r="M68" s="264" t="s">
        <v>1823</v>
      </c>
    </row>
    <row r="69" customFormat="false" ht="57.45" hidden="false" customHeight="false" outlineLevel="0" collapsed="false">
      <c r="A69" s="264" t="s">
        <v>1730</v>
      </c>
      <c r="B69" s="264" t="s">
        <v>1832</v>
      </c>
      <c r="C69" s="264" t="s">
        <v>1833</v>
      </c>
      <c r="D69" s="265" t="n">
        <v>27</v>
      </c>
      <c r="E69" s="266" t="n">
        <v>77.79</v>
      </c>
      <c r="F69" s="266" t="n">
        <v>95</v>
      </c>
      <c r="G69" s="266" t="n">
        <v>102.43</v>
      </c>
      <c r="H69" s="265" t="n">
        <v>100</v>
      </c>
      <c r="I69" s="265" t="n">
        <v>115</v>
      </c>
      <c r="J69" s="265" t="n">
        <v>111</v>
      </c>
      <c r="K69" s="267" t="s">
        <v>1641</v>
      </c>
      <c r="L69" s="265" t="n">
        <v>27</v>
      </c>
      <c r="M69" s="264" t="s">
        <v>1834</v>
      </c>
    </row>
    <row r="70" customFormat="false" ht="91" hidden="false" customHeight="false" outlineLevel="0" collapsed="false">
      <c r="A70" s="264" t="s">
        <v>1730</v>
      </c>
      <c r="B70" s="264" t="s">
        <v>1835</v>
      </c>
      <c r="C70" s="264" t="s">
        <v>1836</v>
      </c>
      <c r="D70" s="265" t="n">
        <v>26</v>
      </c>
      <c r="E70" s="266" t="n">
        <v>121.3</v>
      </c>
      <c r="F70" s="266" t="n">
        <v>379.08</v>
      </c>
      <c r="G70" s="266" t="n">
        <v>113.97</v>
      </c>
      <c r="H70" s="265" t="n">
        <v>3</v>
      </c>
      <c r="I70" s="265" t="n">
        <v>3</v>
      </c>
      <c r="J70" s="265" t="n">
        <v>4</v>
      </c>
      <c r="K70" s="267" t="s">
        <v>1641</v>
      </c>
      <c r="L70" s="265" t="n">
        <v>27</v>
      </c>
      <c r="M70" s="264" t="s">
        <v>1837</v>
      </c>
    </row>
    <row r="71" customFormat="false" ht="35.05" hidden="false" customHeight="false" outlineLevel="0" collapsed="false">
      <c r="A71" s="264" t="s">
        <v>1421</v>
      </c>
      <c r="B71" s="264" t="s">
        <v>1838</v>
      </c>
      <c r="C71" s="264" t="s">
        <v>1839</v>
      </c>
      <c r="D71" s="265" t="n">
        <v>13</v>
      </c>
      <c r="E71" s="266"/>
      <c r="F71" s="266" t="n">
        <v>0</v>
      </c>
      <c r="G71" s="266" t="n">
        <v>0</v>
      </c>
      <c r="H71" s="265"/>
      <c r="I71" s="265" t="n">
        <v>0</v>
      </c>
      <c r="J71" s="265" t="n">
        <v>0</v>
      </c>
      <c r="K71" s="267" t="s">
        <v>1641</v>
      </c>
      <c r="L71" s="265" t="n">
        <v>29</v>
      </c>
      <c r="M71" s="264" t="s">
        <v>1840</v>
      </c>
    </row>
    <row r="72" customFormat="false" ht="46.25" hidden="false" customHeight="false" outlineLevel="0" collapsed="false">
      <c r="A72" s="264" t="s">
        <v>1052</v>
      </c>
      <c r="B72" s="264" t="s">
        <v>1841</v>
      </c>
      <c r="C72" s="264" t="s">
        <v>1842</v>
      </c>
      <c r="D72" s="265" t="n">
        <v>23</v>
      </c>
      <c r="E72" s="266" t="n">
        <v>4</v>
      </c>
      <c r="F72" s="266" t="n">
        <v>8.4</v>
      </c>
      <c r="G72" s="266" t="n">
        <v>7.3</v>
      </c>
      <c r="H72" s="265" t="n">
        <v>2</v>
      </c>
      <c r="I72" s="265" t="n">
        <v>2</v>
      </c>
      <c r="J72" s="265" t="n">
        <v>2</v>
      </c>
      <c r="K72" s="267" t="s">
        <v>1641</v>
      </c>
      <c r="L72" s="265" t="n">
        <v>30</v>
      </c>
      <c r="M72" s="264" t="s">
        <v>1843</v>
      </c>
    </row>
    <row r="73" customFormat="false" ht="79.85" hidden="false" customHeight="false" outlineLevel="0" collapsed="false">
      <c r="A73" s="264" t="s">
        <v>1052</v>
      </c>
      <c r="B73" s="264" t="s">
        <v>1844</v>
      </c>
      <c r="C73" s="264" t="s">
        <v>1845</v>
      </c>
      <c r="D73" s="265" t="n">
        <v>3</v>
      </c>
      <c r="E73" s="266" t="n">
        <v>0</v>
      </c>
      <c r="F73" s="266" t="n">
        <v>0</v>
      </c>
      <c r="G73" s="266" t="n">
        <v>0</v>
      </c>
      <c r="H73" s="265" t="n">
        <v>0</v>
      </c>
      <c r="I73" s="265" t="n">
        <v>0</v>
      </c>
      <c r="J73" s="265" t="n">
        <v>0</v>
      </c>
      <c r="K73" s="267" t="s">
        <v>1641</v>
      </c>
      <c r="L73" s="265" t="n">
        <v>30</v>
      </c>
      <c r="M73" s="264" t="s">
        <v>1846</v>
      </c>
    </row>
    <row r="74" customFormat="false" ht="35.05" hidden="false" customHeight="false" outlineLevel="0" collapsed="false">
      <c r="A74" s="264" t="s">
        <v>1052</v>
      </c>
      <c r="B74" s="264" t="s">
        <v>1847</v>
      </c>
      <c r="C74" s="264" t="s">
        <v>1848</v>
      </c>
      <c r="D74" s="265" t="n">
        <v>11</v>
      </c>
      <c r="E74" s="266" t="n">
        <v>0.15</v>
      </c>
      <c r="F74" s="266" t="n">
        <v>0.21</v>
      </c>
      <c r="G74" s="266" t="n">
        <v>1.02</v>
      </c>
      <c r="H74" s="265" t="n">
        <v>5</v>
      </c>
      <c r="I74" s="265" t="n">
        <v>5</v>
      </c>
      <c r="J74" s="265" t="n">
        <v>5</v>
      </c>
      <c r="K74" s="267" t="s">
        <v>1641</v>
      </c>
      <c r="L74" s="265" t="n">
        <v>30</v>
      </c>
      <c r="M74" s="264" t="s">
        <v>1849</v>
      </c>
    </row>
    <row r="75" customFormat="false" ht="158.2" hidden="false" customHeight="false" outlineLevel="0" collapsed="false">
      <c r="A75" s="264" t="s">
        <v>1052</v>
      </c>
      <c r="B75" s="264" t="s">
        <v>1850</v>
      </c>
      <c r="C75" s="264" t="s">
        <v>1851</v>
      </c>
      <c r="D75" s="265" t="n">
        <v>5</v>
      </c>
      <c r="E75" s="266" t="n">
        <v>0</v>
      </c>
      <c r="F75" s="266" t="n">
        <v>0</v>
      </c>
      <c r="G75" s="266" t="n">
        <v>0</v>
      </c>
      <c r="H75" s="265" t="n">
        <v>0</v>
      </c>
      <c r="I75" s="265" t="n">
        <v>1</v>
      </c>
      <c r="J75" s="265" t="n">
        <v>0</v>
      </c>
      <c r="K75" s="267" t="s">
        <v>1641</v>
      </c>
      <c r="L75" s="265" t="n">
        <v>31</v>
      </c>
      <c r="M75" s="264" t="s">
        <v>1852</v>
      </c>
    </row>
    <row r="76" customFormat="false" ht="57.45" hidden="false" customHeight="false" outlineLevel="0" collapsed="false">
      <c r="A76" s="264" t="s">
        <v>1052</v>
      </c>
      <c r="B76" s="264" t="s">
        <v>1853</v>
      </c>
      <c r="C76" s="264" t="s">
        <v>1854</v>
      </c>
      <c r="D76" s="265" t="n">
        <v>18</v>
      </c>
      <c r="E76" s="266" t="n">
        <v>3.2</v>
      </c>
      <c r="F76" s="266" t="n">
        <v>3.36</v>
      </c>
      <c r="G76" s="266" t="n">
        <v>3.85</v>
      </c>
      <c r="H76" s="265" t="n">
        <v>4</v>
      </c>
      <c r="I76" s="265" t="n">
        <v>4</v>
      </c>
      <c r="J76" s="265" t="n">
        <v>4</v>
      </c>
      <c r="K76" s="267" t="s">
        <v>1641</v>
      </c>
      <c r="L76" s="265" t="n">
        <v>32</v>
      </c>
      <c r="M76" s="264" t="s">
        <v>1855</v>
      </c>
    </row>
    <row r="77" customFormat="false" ht="91" hidden="false" customHeight="false" outlineLevel="0" collapsed="false">
      <c r="A77" s="264" t="s">
        <v>1052</v>
      </c>
      <c r="B77" s="264" t="s">
        <v>1856</v>
      </c>
      <c r="C77" s="264" t="s">
        <v>1857</v>
      </c>
      <c r="D77" s="265" t="n">
        <v>9</v>
      </c>
      <c r="E77" s="266" t="n">
        <v>14.22</v>
      </c>
      <c r="F77" s="266" t="n">
        <v>21.61</v>
      </c>
      <c r="G77" s="266" t="n">
        <v>17.2</v>
      </c>
      <c r="H77" s="265" t="n">
        <v>13</v>
      </c>
      <c r="I77" s="265" t="n">
        <v>12</v>
      </c>
      <c r="J77" s="265" t="n">
        <v>12</v>
      </c>
      <c r="K77" s="267" t="s">
        <v>1641</v>
      </c>
      <c r="L77" s="265" t="n">
        <v>32</v>
      </c>
      <c r="M77" s="264" t="s">
        <v>1858</v>
      </c>
    </row>
    <row r="78" customFormat="false" ht="35.05" hidden="false" customHeight="false" outlineLevel="0" collapsed="false">
      <c r="A78" s="264" t="s">
        <v>1052</v>
      </c>
      <c r="B78" s="264" t="s">
        <v>1859</v>
      </c>
      <c r="C78" s="264" t="s">
        <v>1860</v>
      </c>
      <c r="D78" s="265" t="n">
        <v>26</v>
      </c>
      <c r="E78" s="266" t="n">
        <v>0</v>
      </c>
      <c r="F78" s="266" t="n">
        <v>0</v>
      </c>
      <c r="G78" s="266" t="n">
        <v>0</v>
      </c>
      <c r="H78" s="265" t="n">
        <v>5</v>
      </c>
      <c r="I78" s="265" t="n">
        <v>3</v>
      </c>
      <c r="J78" s="265" t="n">
        <v>2</v>
      </c>
      <c r="K78" s="267" t="s">
        <v>1641</v>
      </c>
      <c r="L78" s="265" t="n">
        <v>32</v>
      </c>
      <c r="M78" s="264" t="s">
        <v>1861</v>
      </c>
    </row>
    <row r="79" customFormat="false" ht="113.4" hidden="false" customHeight="false" outlineLevel="0" collapsed="false">
      <c r="A79" s="264" t="s">
        <v>1052</v>
      </c>
      <c r="B79" s="264" t="s">
        <v>1862</v>
      </c>
      <c r="C79" s="264" t="s">
        <v>1863</v>
      </c>
      <c r="D79" s="265" t="n">
        <v>27</v>
      </c>
      <c r="E79" s="266"/>
      <c r="F79" s="266" t="n">
        <v>4</v>
      </c>
      <c r="G79" s="266" t="n">
        <v>5</v>
      </c>
      <c r="H79" s="265"/>
      <c r="I79" s="265" t="n">
        <v>4</v>
      </c>
      <c r="J79" s="265" t="n">
        <v>4</v>
      </c>
      <c r="K79" s="267" t="s">
        <v>1641</v>
      </c>
      <c r="L79" s="265" t="n">
        <v>33</v>
      </c>
      <c r="M79" s="264" t="s">
        <v>1864</v>
      </c>
    </row>
    <row r="80" customFormat="false" ht="46.25" hidden="false" customHeight="false" outlineLevel="0" collapsed="false">
      <c r="A80" s="264" t="s">
        <v>1052</v>
      </c>
      <c r="B80" s="264" t="s">
        <v>1865</v>
      </c>
      <c r="C80" s="264" t="s">
        <v>1866</v>
      </c>
      <c r="D80" s="265" t="n">
        <v>20</v>
      </c>
      <c r="E80" s="266" t="n">
        <v>1.2</v>
      </c>
      <c r="F80" s="266" t="n">
        <v>1.6</v>
      </c>
      <c r="G80" s="266" t="n">
        <v>1.2</v>
      </c>
      <c r="H80" s="265" t="n">
        <v>9</v>
      </c>
      <c r="I80" s="265" t="n">
        <v>5</v>
      </c>
      <c r="J80" s="265" t="n">
        <v>1</v>
      </c>
      <c r="K80" s="267" t="s">
        <v>1641</v>
      </c>
      <c r="L80" s="265" t="n">
        <v>33</v>
      </c>
      <c r="M80" s="264" t="s">
        <v>1867</v>
      </c>
    </row>
    <row r="81" customFormat="false" ht="46.25" hidden="false" customHeight="false" outlineLevel="0" collapsed="false">
      <c r="A81" s="264" t="s">
        <v>1868</v>
      </c>
      <c r="B81" s="264" t="s">
        <v>1869</v>
      </c>
      <c r="C81" s="264" t="s">
        <v>1870</v>
      </c>
      <c r="D81" s="265" t="n">
        <v>12</v>
      </c>
      <c r="E81" s="266" t="n">
        <v>19.29</v>
      </c>
      <c r="F81" s="266" t="n">
        <v>44.64</v>
      </c>
      <c r="G81" s="266" t="n">
        <v>66.3</v>
      </c>
      <c r="H81" s="265" t="n">
        <v>9</v>
      </c>
      <c r="I81" s="265" t="n">
        <v>8</v>
      </c>
      <c r="J81" s="265" t="n">
        <v>8</v>
      </c>
      <c r="K81" s="267" t="s">
        <v>1641</v>
      </c>
      <c r="L81" s="265" t="n">
        <v>34</v>
      </c>
      <c r="M81" s="264" t="s">
        <v>1871</v>
      </c>
    </row>
    <row r="82" customFormat="false" ht="46.25" hidden="false" customHeight="false" outlineLevel="0" collapsed="false">
      <c r="A82" s="264" t="s">
        <v>1868</v>
      </c>
      <c r="B82" s="264" t="s">
        <v>1872</v>
      </c>
      <c r="C82" s="264" t="s">
        <v>1873</v>
      </c>
      <c r="D82" s="265" t="n">
        <v>10</v>
      </c>
      <c r="E82" s="266" t="n">
        <v>3.02</v>
      </c>
      <c r="F82" s="266" t="n">
        <v>2.8</v>
      </c>
      <c r="G82" s="266" t="n">
        <v>3.09</v>
      </c>
      <c r="H82" s="265" t="n">
        <v>5</v>
      </c>
      <c r="I82" s="265" t="n">
        <v>6</v>
      </c>
      <c r="J82" s="265" t="n">
        <v>5</v>
      </c>
      <c r="K82" s="267" t="s">
        <v>1641</v>
      </c>
      <c r="L82" s="265" t="n">
        <v>34</v>
      </c>
      <c r="M82" s="264" t="s">
        <v>1874</v>
      </c>
    </row>
    <row r="83" customFormat="false" ht="35.05" hidden="false" customHeight="false" outlineLevel="0" collapsed="false">
      <c r="A83" s="264" t="s">
        <v>1868</v>
      </c>
      <c r="B83" s="264" t="s">
        <v>1875</v>
      </c>
      <c r="C83" s="264" t="s">
        <v>1876</v>
      </c>
      <c r="D83" s="265" t="n">
        <v>24</v>
      </c>
      <c r="E83" s="266" t="n">
        <v>0</v>
      </c>
      <c r="F83" s="266" t="n">
        <v>2.91</v>
      </c>
      <c r="G83" s="266" t="n">
        <v>0</v>
      </c>
      <c r="H83" s="265" t="n">
        <v>0</v>
      </c>
      <c r="I83" s="265" t="n">
        <v>1</v>
      </c>
      <c r="J83" s="265" t="n">
        <v>0</v>
      </c>
      <c r="K83" s="267" t="s">
        <v>1641</v>
      </c>
      <c r="L83" s="265" t="n">
        <v>34</v>
      </c>
      <c r="M83" s="264" t="s">
        <v>1877</v>
      </c>
    </row>
    <row r="84" customFormat="false" ht="23.85" hidden="false" customHeight="false" outlineLevel="0" collapsed="false">
      <c r="A84" s="264" t="s">
        <v>1868</v>
      </c>
      <c r="B84" s="264" t="s">
        <v>1878</v>
      </c>
      <c r="C84" s="264" t="s">
        <v>1879</v>
      </c>
      <c r="D84" s="265" t="n">
        <v>5</v>
      </c>
      <c r="E84" s="266" t="n">
        <v>39.62</v>
      </c>
      <c r="F84" s="266" t="n">
        <v>41.93</v>
      </c>
      <c r="G84" s="266" t="n">
        <v>40.67</v>
      </c>
      <c r="H84" s="265" t="n">
        <v>59</v>
      </c>
      <c r="I84" s="265" t="n">
        <v>59</v>
      </c>
      <c r="J84" s="265" t="n">
        <v>59</v>
      </c>
      <c r="K84" s="267" t="s">
        <v>1641</v>
      </c>
      <c r="L84" s="265" t="n">
        <v>34</v>
      </c>
      <c r="M84" s="264" t="s">
        <v>1880</v>
      </c>
    </row>
    <row r="85" customFormat="false" ht="23.85" hidden="false" customHeight="false" outlineLevel="0" collapsed="false">
      <c r="A85" s="264" t="s">
        <v>1868</v>
      </c>
      <c r="B85" s="264" t="s">
        <v>1881</v>
      </c>
      <c r="C85" s="264" t="s">
        <v>1882</v>
      </c>
      <c r="D85" s="265" t="n">
        <v>8</v>
      </c>
      <c r="E85" s="266" t="n">
        <v>0</v>
      </c>
      <c r="F85" s="266" t="n">
        <v>0</v>
      </c>
      <c r="G85" s="266" t="n">
        <v>0</v>
      </c>
      <c r="H85" s="265" t="n">
        <v>1</v>
      </c>
      <c r="I85" s="265" t="n">
        <v>0</v>
      </c>
      <c r="J85" s="265" t="n">
        <v>0</v>
      </c>
      <c r="K85" s="267" t="s">
        <v>1641</v>
      </c>
      <c r="L85" s="265" t="n">
        <v>35</v>
      </c>
      <c r="M85" s="264" t="s">
        <v>1883</v>
      </c>
    </row>
    <row r="86" customFormat="false" ht="23.85" hidden="false" customHeight="false" outlineLevel="0" collapsed="false">
      <c r="A86" s="264" t="s">
        <v>1868</v>
      </c>
      <c r="B86" s="264" t="s">
        <v>1884</v>
      </c>
      <c r="C86" s="264" t="s">
        <v>1885</v>
      </c>
      <c r="D86" s="265" t="n">
        <v>29</v>
      </c>
      <c r="E86" s="266"/>
      <c r="F86" s="266" t="n">
        <v>0</v>
      </c>
      <c r="G86" s="266" t="n">
        <v>0</v>
      </c>
      <c r="H86" s="265"/>
      <c r="I86" s="265" t="n">
        <v>0</v>
      </c>
      <c r="J86" s="265" t="n">
        <v>0</v>
      </c>
      <c r="K86" s="267" t="s">
        <v>1641</v>
      </c>
      <c r="L86" s="265" t="n">
        <v>35</v>
      </c>
      <c r="M86" s="264" t="s">
        <v>1886</v>
      </c>
    </row>
    <row r="87" customFormat="false" ht="35.05" hidden="false" customHeight="false" outlineLevel="0" collapsed="false">
      <c r="A87" s="264" t="s">
        <v>1868</v>
      </c>
      <c r="B87" s="264" t="s">
        <v>1887</v>
      </c>
      <c r="C87" s="264" t="s">
        <v>1888</v>
      </c>
      <c r="D87" s="265" t="n">
        <v>8</v>
      </c>
      <c r="E87" s="266" t="n">
        <v>1</v>
      </c>
      <c r="F87" s="266" t="n">
        <v>1.5</v>
      </c>
      <c r="G87" s="266" t="n">
        <v>0.41</v>
      </c>
      <c r="H87" s="265" t="n">
        <v>11</v>
      </c>
      <c r="I87" s="265" t="n">
        <v>12</v>
      </c>
      <c r="J87" s="265" t="n">
        <v>9</v>
      </c>
      <c r="K87" s="267" t="s">
        <v>1641</v>
      </c>
      <c r="L87" s="265" t="n">
        <v>35</v>
      </c>
      <c r="M87" s="264" t="s">
        <v>1889</v>
      </c>
    </row>
    <row r="88" customFormat="false" ht="79.85" hidden="false" customHeight="false" outlineLevel="0" collapsed="false">
      <c r="A88" s="264" t="s">
        <v>1868</v>
      </c>
      <c r="B88" s="264" t="s">
        <v>1890</v>
      </c>
      <c r="C88" s="264" t="s">
        <v>1891</v>
      </c>
      <c r="D88" s="265" t="n">
        <v>8</v>
      </c>
      <c r="E88" s="266" t="n">
        <v>0.59</v>
      </c>
      <c r="F88" s="266" t="n">
        <v>6.99</v>
      </c>
      <c r="G88" s="266" t="n">
        <v>1.9</v>
      </c>
      <c r="H88" s="265" t="n">
        <v>2</v>
      </c>
      <c r="I88" s="265" t="n">
        <v>6</v>
      </c>
      <c r="J88" s="265" t="n">
        <v>3</v>
      </c>
      <c r="K88" s="267" t="s">
        <v>1641</v>
      </c>
      <c r="L88" s="265" t="n">
        <v>35</v>
      </c>
      <c r="M88" s="264" t="s">
        <v>1892</v>
      </c>
    </row>
    <row r="89" customFormat="false" ht="23.85" hidden="false" customHeight="false" outlineLevel="0" collapsed="false">
      <c r="A89" s="264" t="s">
        <v>1868</v>
      </c>
      <c r="B89" s="264" t="s">
        <v>1893</v>
      </c>
      <c r="C89" s="264" t="s">
        <v>1894</v>
      </c>
      <c r="D89" s="265" t="n">
        <v>13</v>
      </c>
      <c r="E89" s="266" t="n">
        <v>0</v>
      </c>
      <c r="F89" s="266" t="n">
        <v>0.6</v>
      </c>
      <c r="G89" s="266" t="n">
        <v>0</v>
      </c>
      <c r="H89" s="265" t="n">
        <v>2</v>
      </c>
      <c r="I89" s="265" t="n">
        <v>4</v>
      </c>
      <c r="J89" s="265" t="n">
        <v>2</v>
      </c>
      <c r="K89" s="267" t="s">
        <v>1641</v>
      </c>
      <c r="L89" s="265" t="n">
        <v>36</v>
      </c>
      <c r="M89" s="264" t="s">
        <v>1895</v>
      </c>
    </row>
    <row r="90" customFormat="false" ht="35.05" hidden="false" customHeight="false" outlineLevel="0" collapsed="false">
      <c r="A90" s="264" t="s">
        <v>1868</v>
      </c>
      <c r="B90" s="264" t="s">
        <v>1896</v>
      </c>
      <c r="C90" s="264" t="s">
        <v>1897</v>
      </c>
      <c r="D90" s="265" t="n">
        <v>9</v>
      </c>
      <c r="E90" s="266" t="n">
        <v>0</v>
      </c>
      <c r="F90" s="266" t="n">
        <v>0</v>
      </c>
      <c r="G90" s="266" t="n">
        <v>0</v>
      </c>
      <c r="H90" s="265" t="n">
        <v>1</v>
      </c>
      <c r="I90" s="265" t="n">
        <v>0</v>
      </c>
      <c r="J90" s="265" t="n">
        <v>1</v>
      </c>
      <c r="K90" s="267" t="s">
        <v>1641</v>
      </c>
      <c r="L90" s="265" t="n">
        <v>36</v>
      </c>
      <c r="M90" s="264" t="s">
        <v>1898</v>
      </c>
    </row>
    <row r="91" customFormat="false" ht="35.05" hidden="false" customHeight="false" outlineLevel="0" collapsed="false">
      <c r="A91" s="264" t="s">
        <v>1868</v>
      </c>
      <c r="B91" s="264" t="s">
        <v>1899</v>
      </c>
      <c r="C91" s="264" t="s">
        <v>1900</v>
      </c>
      <c r="D91" s="265" t="n">
        <v>6</v>
      </c>
      <c r="E91" s="266" t="n">
        <v>0</v>
      </c>
      <c r="F91" s="266" t="n">
        <v>0</v>
      </c>
      <c r="G91" s="266" t="n">
        <v>0</v>
      </c>
      <c r="H91" s="265" t="n">
        <v>2</v>
      </c>
      <c r="I91" s="265" t="n">
        <v>1</v>
      </c>
      <c r="J91" s="265" t="n">
        <v>2</v>
      </c>
      <c r="K91" s="267" t="s">
        <v>1641</v>
      </c>
      <c r="L91" s="265" t="n">
        <v>36</v>
      </c>
      <c r="M91" s="264" t="s">
        <v>1901</v>
      </c>
    </row>
    <row r="92" customFormat="false" ht="23.85" hidden="false" customHeight="false" outlineLevel="0" collapsed="false">
      <c r="A92" s="264" t="s">
        <v>1868</v>
      </c>
      <c r="B92" s="264" t="s">
        <v>1902</v>
      </c>
      <c r="C92" s="264" t="s">
        <v>1903</v>
      </c>
      <c r="D92" s="265" t="n">
        <v>43</v>
      </c>
      <c r="E92" s="266" t="n">
        <v>6.13</v>
      </c>
      <c r="F92" s="266" t="n">
        <v>3.02</v>
      </c>
      <c r="G92" s="266" t="n">
        <v>0</v>
      </c>
      <c r="H92" s="265" t="n">
        <v>8</v>
      </c>
      <c r="I92" s="265" t="n">
        <v>4</v>
      </c>
      <c r="J92" s="265" t="n">
        <v>4</v>
      </c>
      <c r="K92" s="267" t="s">
        <v>1641</v>
      </c>
      <c r="L92" s="265" t="n">
        <v>36</v>
      </c>
      <c r="M92" s="264" t="s">
        <v>1904</v>
      </c>
    </row>
    <row r="93" customFormat="false" ht="57.45" hidden="false" customHeight="false" outlineLevel="0" collapsed="false">
      <c r="A93" s="264" t="s">
        <v>1868</v>
      </c>
      <c r="B93" s="264" t="s">
        <v>1905</v>
      </c>
      <c r="C93" s="264" t="s">
        <v>1906</v>
      </c>
      <c r="D93" s="265" t="n">
        <v>67</v>
      </c>
      <c r="E93" s="266" t="n">
        <v>9.49</v>
      </c>
      <c r="F93" s="266" t="n">
        <v>24.43</v>
      </c>
      <c r="G93" s="266" t="n">
        <v>7.97</v>
      </c>
      <c r="H93" s="265" t="n">
        <v>2</v>
      </c>
      <c r="I93" s="265" t="n">
        <v>3</v>
      </c>
      <c r="J93" s="265" t="n">
        <v>0</v>
      </c>
      <c r="K93" s="267" t="s">
        <v>1641</v>
      </c>
      <c r="L93" s="265" t="n">
        <v>36</v>
      </c>
      <c r="M93" s="264" t="s">
        <v>1907</v>
      </c>
    </row>
    <row r="94" customFormat="false" ht="23.85" hidden="false" customHeight="false" outlineLevel="0" collapsed="false">
      <c r="A94" s="264" t="s">
        <v>1868</v>
      </c>
      <c r="B94" s="264" t="s">
        <v>1908</v>
      </c>
      <c r="C94" s="264" t="s">
        <v>1909</v>
      </c>
      <c r="D94" s="265" t="n">
        <v>24</v>
      </c>
      <c r="E94" s="266" t="n">
        <v>1</v>
      </c>
      <c r="F94" s="266" t="n">
        <v>0.1</v>
      </c>
      <c r="G94" s="266" t="n">
        <v>0.14</v>
      </c>
      <c r="H94" s="265" t="n">
        <v>2</v>
      </c>
      <c r="I94" s="265" t="n">
        <v>1</v>
      </c>
      <c r="J94" s="265" t="n">
        <v>3</v>
      </c>
      <c r="K94" s="267" t="s">
        <v>1641</v>
      </c>
      <c r="L94" s="265" t="n">
        <v>36</v>
      </c>
      <c r="M94" s="264" t="s">
        <v>1910</v>
      </c>
    </row>
    <row r="95" customFormat="false" ht="23.85" hidden="false" customHeight="false" outlineLevel="0" collapsed="false">
      <c r="A95" s="264" t="s">
        <v>1868</v>
      </c>
      <c r="B95" s="264" t="s">
        <v>1911</v>
      </c>
      <c r="C95" s="264" t="s">
        <v>1912</v>
      </c>
      <c r="D95" s="265" t="n">
        <v>29</v>
      </c>
      <c r="E95" s="266" t="n">
        <v>0.1</v>
      </c>
      <c r="F95" s="266" t="n">
        <v>0</v>
      </c>
      <c r="G95" s="266" t="n">
        <v>4.16</v>
      </c>
      <c r="H95" s="265" t="n">
        <v>1</v>
      </c>
      <c r="I95" s="265" t="n">
        <v>0</v>
      </c>
      <c r="J95" s="265" t="n">
        <v>3</v>
      </c>
      <c r="K95" s="267" t="s">
        <v>1641</v>
      </c>
      <c r="L95" s="265" t="n">
        <v>37</v>
      </c>
      <c r="M95" s="264" t="s">
        <v>1913</v>
      </c>
    </row>
    <row r="96" customFormat="false" ht="68.65" hidden="false" customHeight="false" outlineLevel="0" collapsed="false">
      <c r="A96" s="264" t="s">
        <v>1914</v>
      </c>
      <c r="B96" s="264" t="s">
        <v>1915</v>
      </c>
      <c r="C96" s="264" t="s">
        <v>1916</v>
      </c>
      <c r="D96" s="265" t="n">
        <v>23</v>
      </c>
      <c r="E96" s="266" t="n">
        <v>1308</v>
      </c>
      <c r="F96" s="266" t="n">
        <v>1441</v>
      </c>
      <c r="G96" s="266" t="n">
        <v>1383.54</v>
      </c>
      <c r="H96" s="265" t="n">
        <v>2</v>
      </c>
      <c r="I96" s="265" t="n">
        <v>3</v>
      </c>
      <c r="J96" s="265" t="n">
        <v>2</v>
      </c>
      <c r="K96" s="267" t="s">
        <v>1641</v>
      </c>
      <c r="L96" s="265" t="n">
        <v>38</v>
      </c>
      <c r="M96" s="264" t="s">
        <v>1917</v>
      </c>
    </row>
    <row r="97" customFormat="false" ht="68.65" hidden="false" customHeight="false" outlineLevel="0" collapsed="false">
      <c r="A97" s="264" t="s">
        <v>1914</v>
      </c>
      <c r="B97" s="264" t="s">
        <v>1918</v>
      </c>
      <c r="C97" s="264" t="s">
        <v>1919</v>
      </c>
      <c r="D97" s="265" t="n">
        <v>81</v>
      </c>
      <c r="E97" s="266"/>
      <c r="F97" s="266"/>
      <c r="G97" s="266" t="n">
        <v>0</v>
      </c>
      <c r="H97" s="265"/>
      <c r="I97" s="265"/>
      <c r="J97" s="265" t="n">
        <v>3</v>
      </c>
      <c r="K97" s="267" t="s">
        <v>1641</v>
      </c>
      <c r="L97" s="265" t="n">
        <v>38</v>
      </c>
      <c r="M97" s="264" t="s">
        <v>1920</v>
      </c>
    </row>
    <row r="98" customFormat="false" ht="23.85" hidden="false" customHeight="false" outlineLevel="0" collapsed="false">
      <c r="A98" s="264" t="s">
        <v>1914</v>
      </c>
      <c r="B98" s="264" t="s">
        <v>1921</v>
      </c>
      <c r="C98" s="264" t="s">
        <v>1922</v>
      </c>
      <c r="D98" s="265" t="n">
        <v>17</v>
      </c>
      <c r="E98" s="266" t="n">
        <v>1.88</v>
      </c>
      <c r="F98" s="266" t="n">
        <v>0.65</v>
      </c>
      <c r="G98" s="266" t="n">
        <v>0</v>
      </c>
      <c r="H98" s="265" t="n">
        <v>7</v>
      </c>
      <c r="I98" s="265" t="n">
        <v>3</v>
      </c>
      <c r="J98" s="265" t="n">
        <v>0</v>
      </c>
      <c r="K98" s="267" t="s">
        <v>1641</v>
      </c>
      <c r="L98" s="265" t="n">
        <v>38</v>
      </c>
      <c r="M98" s="264" t="s">
        <v>1923</v>
      </c>
    </row>
    <row r="99" customFormat="false" ht="46.25" hidden="false" customHeight="false" outlineLevel="0" collapsed="false">
      <c r="A99" s="264" t="s">
        <v>1914</v>
      </c>
      <c r="B99" s="264" t="s">
        <v>1924</v>
      </c>
      <c r="C99" s="264" t="s">
        <v>1925</v>
      </c>
      <c r="D99" s="265" t="n">
        <v>90</v>
      </c>
      <c r="E99" s="266" t="n">
        <v>48</v>
      </c>
      <c r="F99" s="266" t="n">
        <v>76</v>
      </c>
      <c r="G99" s="266" t="n">
        <v>50</v>
      </c>
      <c r="H99" s="265" t="n">
        <v>1</v>
      </c>
      <c r="I99" s="265" t="n">
        <v>1</v>
      </c>
      <c r="J99" s="265" t="n">
        <v>1</v>
      </c>
      <c r="K99" s="267" t="s">
        <v>1641</v>
      </c>
      <c r="L99" s="265" t="n">
        <v>39</v>
      </c>
      <c r="M99" s="264" t="s">
        <v>1926</v>
      </c>
    </row>
    <row r="100" customFormat="false" ht="46.25" hidden="false" customHeight="false" outlineLevel="0" collapsed="false">
      <c r="A100" s="264" t="s">
        <v>1914</v>
      </c>
      <c r="B100" s="264" t="s">
        <v>1927</v>
      </c>
      <c r="C100" s="264" t="s">
        <v>1928</v>
      </c>
      <c r="D100" s="265" t="n">
        <v>24</v>
      </c>
      <c r="E100" s="266" t="n">
        <v>0</v>
      </c>
      <c r="F100" s="266" t="n">
        <v>0</v>
      </c>
      <c r="G100" s="266" t="n">
        <v>0</v>
      </c>
      <c r="H100" s="265" t="n">
        <v>1</v>
      </c>
      <c r="I100" s="265" t="n">
        <v>1</v>
      </c>
      <c r="J100" s="265" t="n">
        <v>0</v>
      </c>
      <c r="K100" s="267" t="s">
        <v>1641</v>
      </c>
      <c r="L100" s="265" t="n">
        <v>39</v>
      </c>
      <c r="M100" s="264" t="s">
        <v>1929</v>
      </c>
    </row>
    <row r="101" customFormat="false" ht="35.05" hidden="false" customHeight="false" outlineLevel="0" collapsed="false">
      <c r="A101" s="264" t="s">
        <v>1914</v>
      </c>
      <c r="B101" s="264" t="s">
        <v>1930</v>
      </c>
      <c r="C101" s="264" t="s">
        <v>1931</v>
      </c>
      <c r="D101" s="265" t="n">
        <v>16</v>
      </c>
      <c r="E101" s="266" t="n">
        <v>0</v>
      </c>
      <c r="F101" s="266" t="n">
        <v>0</v>
      </c>
      <c r="G101" s="266" t="n">
        <v>0</v>
      </c>
      <c r="H101" s="265" t="n">
        <v>8</v>
      </c>
      <c r="I101" s="265" t="n">
        <v>8</v>
      </c>
      <c r="J101" s="265" t="n">
        <v>7</v>
      </c>
      <c r="K101" s="267" t="s">
        <v>1641</v>
      </c>
      <c r="L101" s="265" t="n">
        <v>39</v>
      </c>
      <c r="M101" s="264" t="s">
        <v>1932</v>
      </c>
    </row>
    <row r="102" customFormat="false" ht="46.25" hidden="false" customHeight="false" outlineLevel="0" collapsed="false">
      <c r="A102" s="264" t="s">
        <v>1914</v>
      </c>
      <c r="B102" s="264" t="s">
        <v>1933</v>
      </c>
      <c r="C102" s="264" t="s">
        <v>1934</v>
      </c>
      <c r="D102" s="265" t="n">
        <v>15</v>
      </c>
      <c r="E102" s="266" t="n">
        <v>7.61</v>
      </c>
      <c r="F102" s="266" t="n">
        <v>7.61</v>
      </c>
      <c r="G102" s="266" t="n">
        <v>18.85</v>
      </c>
      <c r="H102" s="265" t="n">
        <v>3</v>
      </c>
      <c r="I102" s="265" t="n">
        <v>3</v>
      </c>
      <c r="J102" s="265" t="n">
        <v>6</v>
      </c>
      <c r="K102" s="267" t="s">
        <v>1641</v>
      </c>
      <c r="L102" s="265" t="n">
        <v>39</v>
      </c>
      <c r="M102" s="264" t="s">
        <v>1935</v>
      </c>
    </row>
    <row r="103" customFormat="false" ht="23.85" hidden="false" customHeight="false" outlineLevel="0" collapsed="false">
      <c r="A103" s="264" t="s">
        <v>1914</v>
      </c>
      <c r="B103" s="264" t="s">
        <v>1936</v>
      </c>
      <c r="C103" s="264" t="s">
        <v>1937</v>
      </c>
      <c r="D103" s="265" t="n">
        <v>34</v>
      </c>
      <c r="E103" s="266" t="n">
        <v>1989</v>
      </c>
      <c r="F103" s="266" t="n">
        <v>1989</v>
      </c>
      <c r="G103" s="266" t="n">
        <v>1987</v>
      </c>
      <c r="H103" s="265" t="n">
        <v>70</v>
      </c>
      <c r="I103" s="265" t="n">
        <v>70</v>
      </c>
      <c r="J103" s="265" t="n">
        <v>70</v>
      </c>
      <c r="K103" s="267" t="s">
        <v>1641</v>
      </c>
      <c r="L103" s="265" t="n">
        <v>40</v>
      </c>
      <c r="M103" s="264" t="s">
        <v>1938</v>
      </c>
    </row>
    <row r="104" customFormat="false" ht="158.2" hidden="false" customHeight="false" outlineLevel="0" collapsed="false">
      <c r="A104" s="264" t="s">
        <v>1914</v>
      </c>
      <c r="B104" s="264" t="s">
        <v>1939</v>
      </c>
      <c r="C104" s="264" t="s">
        <v>1940</v>
      </c>
      <c r="D104" s="265" t="n">
        <v>69</v>
      </c>
      <c r="E104" s="266" t="n">
        <v>9.22</v>
      </c>
      <c r="F104" s="266" t="n">
        <v>9.2</v>
      </c>
      <c r="G104" s="266" t="n">
        <v>131.46</v>
      </c>
      <c r="H104" s="265" t="n">
        <v>10</v>
      </c>
      <c r="I104" s="265" t="n">
        <v>12</v>
      </c>
      <c r="J104" s="265" t="n">
        <v>9</v>
      </c>
      <c r="K104" s="267" t="s">
        <v>1641</v>
      </c>
      <c r="L104" s="265" t="n">
        <v>40</v>
      </c>
      <c r="M104" s="264" t="s">
        <v>1941</v>
      </c>
    </row>
    <row r="105" customFormat="false" ht="102.2" hidden="false" customHeight="false" outlineLevel="0" collapsed="false">
      <c r="A105" s="264" t="s">
        <v>1914</v>
      </c>
      <c r="B105" s="264" t="s">
        <v>1942</v>
      </c>
      <c r="C105" s="264" t="s">
        <v>1943</v>
      </c>
      <c r="D105" s="265" t="n">
        <v>49</v>
      </c>
      <c r="E105" s="266"/>
      <c r="F105" s="266"/>
      <c r="G105" s="266" t="n">
        <v>33.5</v>
      </c>
      <c r="H105" s="265"/>
      <c r="I105" s="265"/>
      <c r="J105" s="265" t="n">
        <v>4</v>
      </c>
      <c r="K105" s="267" t="s">
        <v>1641</v>
      </c>
      <c r="L105" s="265" t="n">
        <v>41</v>
      </c>
      <c r="M105" s="264" t="s">
        <v>1944</v>
      </c>
    </row>
    <row r="106" customFormat="false" ht="46.25" hidden="false" customHeight="false" outlineLevel="0" collapsed="false">
      <c r="A106" s="264" t="s">
        <v>1914</v>
      </c>
      <c r="B106" s="264" t="s">
        <v>1945</v>
      </c>
      <c r="C106" s="264" t="s">
        <v>1946</v>
      </c>
      <c r="D106" s="265" t="n">
        <v>25</v>
      </c>
      <c r="E106" s="266" t="n">
        <v>0</v>
      </c>
      <c r="F106" s="266" t="n">
        <v>0</v>
      </c>
      <c r="G106" s="266" t="n">
        <v>0</v>
      </c>
      <c r="H106" s="265" t="n">
        <v>1</v>
      </c>
      <c r="I106" s="265" t="n">
        <v>1</v>
      </c>
      <c r="J106" s="265" t="n">
        <v>0</v>
      </c>
      <c r="K106" s="267" t="s">
        <v>1641</v>
      </c>
      <c r="L106" s="265" t="n">
        <v>41</v>
      </c>
      <c r="M106" s="264" t="s">
        <v>1947</v>
      </c>
    </row>
    <row r="107" customFormat="false" ht="57.45" hidden="false" customHeight="false" outlineLevel="0" collapsed="false">
      <c r="A107" s="264" t="s">
        <v>1914</v>
      </c>
      <c r="B107" s="264" t="s">
        <v>1948</v>
      </c>
      <c r="C107" s="264" t="s">
        <v>1949</v>
      </c>
      <c r="D107" s="265" t="n">
        <v>19</v>
      </c>
      <c r="E107" s="266" t="n">
        <v>0</v>
      </c>
      <c r="F107" s="266" t="n">
        <v>0</v>
      </c>
      <c r="G107" s="266" t="n">
        <v>0</v>
      </c>
      <c r="H107" s="265" t="n">
        <v>0</v>
      </c>
      <c r="I107" s="265" t="n">
        <v>0</v>
      </c>
      <c r="J107" s="265" t="n">
        <v>0</v>
      </c>
      <c r="K107" s="267" t="s">
        <v>1641</v>
      </c>
      <c r="L107" s="265" t="n">
        <v>42</v>
      </c>
      <c r="M107" s="264" t="s">
        <v>1950</v>
      </c>
    </row>
    <row r="108" customFormat="false" ht="57.45" hidden="false" customHeight="false" outlineLevel="0" collapsed="false">
      <c r="A108" s="264" t="s">
        <v>1914</v>
      </c>
      <c r="B108" s="264" t="s">
        <v>1951</v>
      </c>
      <c r="C108" s="264" t="s">
        <v>1952</v>
      </c>
      <c r="D108" s="265" t="n">
        <v>16</v>
      </c>
      <c r="E108" s="266" t="n">
        <v>6.69</v>
      </c>
      <c r="F108" s="266" t="n">
        <v>6.4</v>
      </c>
      <c r="G108" s="266" t="n">
        <v>9.06</v>
      </c>
      <c r="H108" s="265" t="n">
        <v>5</v>
      </c>
      <c r="I108" s="265" t="n">
        <v>4</v>
      </c>
      <c r="J108" s="265" t="n">
        <v>1</v>
      </c>
      <c r="K108" s="267" t="s">
        <v>1641</v>
      </c>
      <c r="L108" s="265" t="n">
        <v>42</v>
      </c>
      <c r="M108" s="264" t="s">
        <v>1953</v>
      </c>
    </row>
    <row r="109" customFormat="false" ht="68.65" hidden="false" customHeight="false" outlineLevel="0" collapsed="false">
      <c r="A109" s="264" t="s">
        <v>1914</v>
      </c>
      <c r="B109" s="264" t="s">
        <v>1954</v>
      </c>
      <c r="C109" s="264" t="s">
        <v>1955</v>
      </c>
      <c r="D109" s="265" t="n">
        <v>11</v>
      </c>
      <c r="E109" s="266" t="n">
        <v>0</v>
      </c>
      <c r="F109" s="266" t="n">
        <v>0</v>
      </c>
      <c r="G109" s="266" t="n">
        <v>0</v>
      </c>
      <c r="H109" s="265" t="n">
        <v>3</v>
      </c>
      <c r="I109" s="265" t="n">
        <v>2</v>
      </c>
      <c r="J109" s="265" t="n">
        <v>2</v>
      </c>
      <c r="K109" s="267" t="s">
        <v>1641</v>
      </c>
      <c r="L109" s="265" t="n">
        <v>42</v>
      </c>
      <c r="M109" s="264" t="s">
        <v>1956</v>
      </c>
    </row>
    <row r="110" customFormat="false" ht="68.65" hidden="false" customHeight="false" outlineLevel="0" collapsed="false">
      <c r="A110" s="264" t="s">
        <v>1914</v>
      </c>
      <c r="B110" s="264" t="s">
        <v>1957</v>
      </c>
      <c r="C110" s="264" t="s">
        <v>1958</v>
      </c>
      <c r="D110" s="265" t="n">
        <v>12</v>
      </c>
      <c r="E110" s="266" t="n">
        <v>0</v>
      </c>
      <c r="F110" s="266" t="n">
        <v>0</v>
      </c>
      <c r="G110" s="266" t="n">
        <v>0</v>
      </c>
      <c r="H110" s="265" t="n">
        <v>0</v>
      </c>
      <c r="I110" s="265" t="n">
        <v>0</v>
      </c>
      <c r="J110" s="265" t="n">
        <v>7</v>
      </c>
      <c r="K110" s="267" t="s">
        <v>1641</v>
      </c>
      <c r="L110" s="265" t="n">
        <v>43</v>
      </c>
      <c r="M110" s="264"/>
    </row>
    <row r="111" customFormat="false" ht="79.85" hidden="false" customHeight="false" outlineLevel="0" collapsed="false">
      <c r="A111" s="264" t="s">
        <v>1914</v>
      </c>
      <c r="B111" s="264" t="s">
        <v>1959</v>
      </c>
      <c r="C111" s="264" t="s">
        <v>1960</v>
      </c>
      <c r="D111" s="265" t="n">
        <v>20</v>
      </c>
      <c r="E111" s="266" t="n">
        <v>0</v>
      </c>
      <c r="F111" s="266" t="n">
        <v>30.54</v>
      </c>
      <c r="G111" s="266" t="n">
        <v>30.54</v>
      </c>
      <c r="H111" s="265" t="n">
        <v>12</v>
      </c>
      <c r="I111" s="265" t="n">
        <v>9</v>
      </c>
      <c r="J111" s="265" t="n">
        <v>8</v>
      </c>
      <c r="K111" s="267" t="s">
        <v>1641</v>
      </c>
      <c r="L111" s="265" t="n">
        <v>43</v>
      </c>
      <c r="M111" s="264" t="s">
        <v>1961</v>
      </c>
    </row>
    <row r="112" customFormat="false" ht="79.85" hidden="false" customHeight="false" outlineLevel="0" collapsed="false">
      <c r="A112" s="264" t="s">
        <v>1914</v>
      </c>
      <c r="B112" s="264" t="s">
        <v>1962</v>
      </c>
      <c r="C112" s="264" t="s">
        <v>1963</v>
      </c>
      <c r="D112" s="265" t="n">
        <v>9</v>
      </c>
      <c r="E112" s="266" t="n">
        <v>14</v>
      </c>
      <c r="F112" s="266" t="n">
        <v>10</v>
      </c>
      <c r="G112" s="266" t="n">
        <v>11.68</v>
      </c>
      <c r="H112" s="265" t="n">
        <v>5</v>
      </c>
      <c r="I112" s="265" t="n">
        <v>6</v>
      </c>
      <c r="J112" s="265" t="n">
        <v>9</v>
      </c>
      <c r="K112" s="267" t="s">
        <v>1641</v>
      </c>
      <c r="L112" s="265" t="n">
        <v>44</v>
      </c>
      <c r="M112" s="264" t="s">
        <v>1964</v>
      </c>
    </row>
    <row r="113" customFormat="false" ht="23.85" hidden="false" customHeight="false" outlineLevel="0" collapsed="false">
      <c r="A113" s="264" t="s">
        <v>1914</v>
      </c>
      <c r="B113" s="264" t="s">
        <v>1965</v>
      </c>
      <c r="C113" s="264" t="s">
        <v>1966</v>
      </c>
      <c r="D113" s="265" t="n">
        <v>67</v>
      </c>
      <c r="E113" s="266" t="n">
        <v>42</v>
      </c>
      <c r="F113" s="266" t="n">
        <v>42.5</v>
      </c>
      <c r="G113" s="266" t="n">
        <v>42.5</v>
      </c>
      <c r="H113" s="265" t="n">
        <v>2</v>
      </c>
      <c r="I113" s="265" t="n">
        <v>2</v>
      </c>
      <c r="J113" s="265" t="n">
        <v>2</v>
      </c>
      <c r="K113" s="267" t="s">
        <v>1641</v>
      </c>
      <c r="L113" s="265" t="n">
        <v>44</v>
      </c>
      <c r="M113" s="264" t="s">
        <v>1967</v>
      </c>
    </row>
    <row r="114" customFormat="false" ht="79.85" hidden="false" customHeight="false" outlineLevel="0" collapsed="false">
      <c r="A114" s="264" t="s">
        <v>1914</v>
      </c>
      <c r="B114" s="264" t="s">
        <v>1968</v>
      </c>
      <c r="C114" s="264" t="s">
        <v>1969</v>
      </c>
      <c r="D114" s="265" t="n">
        <v>16</v>
      </c>
      <c r="E114" s="266" t="n">
        <v>107.74</v>
      </c>
      <c r="F114" s="266" t="n">
        <v>436</v>
      </c>
      <c r="G114" s="266" t="n">
        <v>389.7</v>
      </c>
      <c r="H114" s="265" t="n">
        <v>4</v>
      </c>
      <c r="I114" s="265" t="n">
        <v>8</v>
      </c>
      <c r="J114" s="265" t="n">
        <v>5</v>
      </c>
      <c r="K114" s="267" t="s">
        <v>1641</v>
      </c>
      <c r="L114" s="265" t="n">
        <v>44</v>
      </c>
      <c r="M114" s="264" t="s">
        <v>1970</v>
      </c>
    </row>
    <row r="115" customFormat="false" ht="23.85" hidden="false" customHeight="false" outlineLevel="0" collapsed="false">
      <c r="A115" s="264" t="s">
        <v>1914</v>
      </c>
      <c r="B115" s="264" t="s">
        <v>1971</v>
      </c>
      <c r="C115" s="264" t="s">
        <v>1972</v>
      </c>
      <c r="D115" s="265" t="n">
        <v>14</v>
      </c>
      <c r="E115" s="266" t="n">
        <v>65</v>
      </c>
      <c r="F115" s="266" t="n">
        <v>191</v>
      </c>
      <c r="G115" s="266" t="n">
        <v>128.58</v>
      </c>
      <c r="H115" s="265" t="n">
        <v>10</v>
      </c>
      <c r="I115" s="265" t="n">
        <v>10</v>
      </c>
      <c r="J115" s="265" t="n">
        <v>10</v>
      </c>
      <c r="K115" s="267" t="s">
        <v>1641</v>
      </c>
      <c r="L115" s="265" t="n">
        <v>44</v>
      </c>
      <c r="M115" s="264" t="s">
        <v>1973</v>
      </c>
    </row>
    <row r="116" customFormat="false" ht="23.85" hidden="false" customHeight="false" outlineLevel="0" collapsed="false">
      <c r="A116" s="264" t="s">
        <v>1914</v>
      </c>
      <c r="B116" s="264" t="s">
        <v>1974</v>
      </c>
      <c r="C116" s="264" t="s">
        <v>1975</v>
      </c>
      <c r="D116" s="265" t="n">
        <v>13</v>
      </c>
      <c r="E116" s="266" t="n">
        <v>44</v>
      </c>
      <c r="F116" s="266" t="n">
        <v>44</v>
      </c>
      <c r="G116" s="266" t="n">
        <v>44</v>
      </c>
      <c r="H116" s="265" t="n">
        <v>12</v>
      </c>
      <c r="I116" s="265" t="n">
        <v>12</v>
      </c>
      <c r="J116" s="265" t="n">
        <v>11</v>
      </c>
      <c r="K116" s="267" t="s">
        <v>1641</v>
      </c>
      <c r="L116" s="265" t="n">
        <v>45</v>
      </c>
      <c r="M116" s="264" t="s">
        <v>1976</v>
      </c>
    </row>
    <row r="117" customFormat="false" ht="35.05" hidden="false" customHeight="false" outlineLevel="0" collapsed="false">
      <c r="A117" s="264" t="s">
        <v>1914</v>
      </c>
      <c r="B117" s="264" t="s">
        <v>1977</v>
      </c>
      <c r="C117" s="264" t="s">
        <v>1978</v>
      </c>
      <c r="D117" s="265" t="n">
        <v>30</v>
      </c>
      <c r="E117" s="266" t="n">
        <v>12.35</v>
      </c>
      <c r="F117" s="266" t="n">
        <v>10</v>
      </c>
      <c r="G117" s="266" t="n">
        <v>11.73</v>
      </c>
      <c r="H117" s="265" t="n">
        <v>3</v>
      </c>
      <c r="I117" s="265" t="n">
        <v>3</v>
      </c>
      <c r="J117" s="265" t="n">
        <v>3</v>
      </c>
      <c r="K117" s="267" t="s">
        <v>1641</v>
      </c>
      <c r="L117" s="265" t="n">
        <v>45</v>
      </c>
      <c r="M117" s="264" t="s">
        <v>1979</v>
      </c>
    </row>
    <row r="118" customFormat="false" ht="23.85" hidden="false" customHeight="false" outlineLevel="0" collapsed="false">
      <c r="A118" s="264" t="s">
        <v>1914</v>
      </c>
      <c r="B118" s="264" t="s">
        <v>1980</v>
      </c>
      <c r="C118" s="264" t="s">
        <v>1981</v>
      </c>
      <c r="D118" s="265" t="n">
        <v>12</v>
      </c>
      <c r="E118" s="266" t="n">
        <v>0</v>
      </c>
      <c r="F118" s="266" t="n">
        <v>0</v>
      </c>
      <c r="G118" s="266" t="n">
        <v>0</v>
      </c>
      <c r="H118" s="265" t="n">
        <v>7</v>
      </c>
      <c r="I118" s="265" t="n">
        <v>0</v>
      </c>
      <c r="J118" s="265" t="n">
        <v>0</v>
      </c>
      <c r="K118" s="267" t="s">
        <v>1641</v>
      </c>
      <c r="L118" s="265" t="n">
        <v>45</v>
      </c>
      <c r="M118" s="264"/>
    </row>
    <row r="119" customFormat="false" ht="68.65" hidden="false" customHeight="false" outlineLevel="0" collapsed="false">
      <c r="A119" s="264" t="s">
        <v>1914</v>
      </c>
      <c r="B119" s="264" t="s">
        <v>1982</v>
      </c>
      <c r="C119" s="264" t="s">
        <v>1983</v>
      </c>
      <c r="D119" s="265" t="n">
        <v>40</v>
      </c>
      <c r="E119" s="266" t="n">
        <v>0</v>
      </c>
      <c r="F119" s="266" t="n">
        <v>0</v>
      </c>
      <c r="G119" s="266" t="n">
        <v>13.59</v>
      </c>
      <c r="H119" s="265" t="n">
        <v>7</v>
      </c>
      <c r="I119" s="265" t="n">
        <v>3</v>
      </c>
      <c r="J119" s="265" t="n">
        <v>4</v>
      </c>
      <c r="K119" s="267" t="s">
        <v>1641</v>
      </c>
      <c r="L119" s="265" t="n">
        <v>45</v>
      </c>
      <c r="M119" s="264" t="s">
        <v>1984</v>
      </c>
    </row>
    <row r="120" customFormat="false" ht="15" hidden="false" customHeight="false" outlineLevel="0" collapsed="false">
      <c r="A120" s="264" t="s">
        <v>1914</v>
      </c>
      <c r="B120" s="264" t="s">
        <v>1985</v>
      </c>
      <c r="C120" s="264" t="s">
        <v>1986</v>
      </c>
      <c r="D120" s="265" t="n">
        <v>19</v>
      </c>
      <c r="E120" s="266" t="n">
        <v>94</v>
      </c>
      <c r="F120" s="266" t="n">
        <v>94</v>
      </c>
      <c r="G120" s="266" t="n">
        <v>99.73</v>
      </c>
      <c r="H120" s="265" t="n">
        <v>9</v>
      </c>
      <c r="I120" s="265" t="n">
        <v>8</v>
      </c>
      <c r="J120" s="265" t="n">
        <v>9</v>
      </c>
      <c r="K120" s="267" t="s">
        <v>1641</v>
      </c>
      <c r="L120" s="265" t="n">
        <v>45</v>
      </c>
      <c r="M120" s="264" t="s">
        <v>1987</v>
      </c>
    </row>
    <row r="121" customFormat="false" ht="57.45" hidden="false" customHeight="false" outlineLevel="0" collapsed="false">
      <c r="A121" s="264" t="s">
        <v>1914</v>
      </c>
      <c r="B121" s="264" t="s">
        <v>1988</v>
      </c>
      <c r="C121" s="264" t="s">
        <v>1989</v>
      </c>
      <c r="D121" s="265" t="n">
        <v>22</v>
      </c>
      <c r="E121" s="266" t="n">
        <v>8.62</v>
      </c>
      <c r="F121" s="266" t="n">
        <v>10</v>
      </c>
      <c r="G121" s="266" t="n">
        <v>10</v>
      </c>
      <c r="H121" s="265" t="n">
        <v>5</v>
      </c>
      <c r="I121" s="265" t="n">
        <v>5</v>
      </c>
      <c r="J121" s="265" t="n">
        <v>5</v>
      </c>
      <c r="K121" s="267" t="s">
        <v>1641</v>
      </c>
      <c r="L121" s="265" t="n">
        <v>46</v>
      </c>
      <c r="M121" s="264" t="s">
        <v>1990</v>
      </c>
    </row>
    <row r="122" customFormat="false" ht="79.85" hidden="false" customHeight="false" outlineLevel="0" collapsed="false">
      <c r="A122" s="264" t="s">
        <v>1914</v>
      </c>
      <c r="B122" s="264" t="s">
        <v>1991</v>
      </c>
      <c r="C122" s="264" t="s">
        <v>1992</v>
      </c>
      <c r="D122" s="265" t="n">
        <v>66</v>
      </c>
      <c r="E122" s="266" t="n">
        <v>576</v>
      </c>
      <c r="F122" s="266" t="n">
        <v>758</v>
      </c>
      <c r="G122" s="266" t="n">
        <v>581</v>
      </c>
      <c r="H122" s="265" t="n">
        <v>51</v>
      </c>
      <c r="I122" s="265" t="n">
        <v>76</v>
      </c>
      <c r="J122" s="265" t="n">
        <v>48</v>
      </c>
      <c r="K122" s="267" t="s">
        <v>1641</v>
      </c>
      <c r="L122" s="265" t="n">
        <v>46</v>
      </c>
      <c r="M122" s="264" t="s">
        <v>1993</v>
      </c>
    </row>
    <row r="123" customFormat="false" ht="91" hidden="false" customHeight="false" outlineLevel="0" collapsed="false">
      <c r="A123" s="264" t="s">
        <v>1914</v>
      </c>
      <c r="B123" s="264" t="s">
        <v>1994</v>
      </c>
      <c r="C123" s="264" t="s">
        <v>1995</v>
      </c>
      <c r="D123" s="265" t="n">
        <v>97</v>
      </c>
      <c r="E123" s="266" t="n">
        <v>517.07</v>
      </c>
      <c r="F123" s="266" t="n">
        <v>234</v>
      </c>
      <c r="G123" s="266" t="n">
        <v>232.75</v>
      </c>
      <c r="H123" s="265" t="n">
        <v>6</v>
      </c>
      <c r="I123" s="265" t="n">
        <v>6</v>
      </c>
      <c r="J123" s="265" t="n">
        <v>4</v>
      </c>
      <c r="K123" s="267" t="s">
        <v>1641</v>
      </c>
      <c r="L123" s="265" t="n">
        <v>47</v>
      </c>
      <c r="M123" s="264" t="s">
        <v>1996</v>
      </c>
    </row>
    <row r="124" customFormat="false" ht="79.85" hidden="false" customHeight="false" outlineLevel="0" collapsed="false">
      <c r="A124" s="264" t="s">
        <v>1914</v>
      </c>
      <c r="B124" s="264" t="s">
        <v>1997</v>
      </c>
      <c r="C124" s="264" t="s">
        <v>1998</v>
      </c>
      <c r="D124" s="265" t="n">
        <v>54</v>
      </c>
      <c r="E124" s="266" t="n">
        <v>227.3</v>
      </c>
      <c r="F124" s="266" t="n">
        <v>14</v>
      </c>
      <c r="G124" s="266" t="n">
        <v>19</v>
      </c>
      <c r="H124" s="265" t="n">
        <v>76</v>
      </c>
      <c r="I124" s="265" t="n">
        <v>53</v>
      </c>
      <c r="J124" s="265" t="n">
        <v>47</v>
      </c>
      <c r="K124" s="267" t="s">
        <v>1641</v>
      </c>
      <c r="L124" s="265" t="n">
        <v>47</v>
      </c>
      <c r="M124" s="264" t="s">
        <v>1999</v>
      </c>
    </row>
    <row r="125" customFormat="false" ht="15" hidden="false" customHeight="false" outlineLevel="0" collapsed="false">
      <c r="A125" s="264" t="s">
        <v>1914</v>
      </c>
      <c r="B125" s="264" t="s">
        <v>2000</v>
      </c>
      <c r="C125" s="264" t="s">
        <v>2001</v>
      </c>
      <c r="D125" s="265" t="n">
        <v>89</v>
      </c>
      <c r="E125" s="266" t="n">
        <v>626.7</v>
      </c>
      <c r="F125" s="266" t="n">
        <v>463.35</v>
      </c>
      <c r="G125" s="266" t="n">
        <v>687.5</v>
      </c>
      <c r="H125" s="265" t="n">
        <v>13</v>
      </c>
      <c r="I125" s="265" t="n">
        <v>13</v>
      </c>
      <c r="J125" s="265" t="n">
        <v>14</v>
      </c>
      <c r="K125" s="267" t="s">
        <v>1641</v>
      </c>
      <c r="L125" s="265" t="n">
        <v>47</v>
      </c>
      <c r="M125" s="264" t="s">
        <v>2002</v>
      </c>
    </row>
    <row r="126" customFormat="false" ht="57.45" hidden="false" customHeight="false" outlineLevel="0" collapsed="false">
      <c r="A126" s="264" t="s">
        <v>1914</v>
      </c>
      <c r="B126" s="264" t="s">
        <v>2003</v>
      </c>
      <c r="C126" s="264" t="s">
        <v>2004</v>
      </c>
      <c r="D126" s="265" t="n">
        <v>50</v>
      </c>
      <c r="E126" s="266" t="n">
        <v>1.39</v>
      </c>
      <c r="F126" s="266" t="n">
        <v>0.64</v>
      </c>
      <c r="G126" s="266" t="n">
        <v>1.28</v>
      </c>
      <c r="H126" s="265" t="n">
        <v>3</v>
      </c>
      <c r="I126" s="265" t="n">
        <v>1</v>
      </c>
      <c r="J126" s="265" t="n">
        <v>1</v>
      </c>
      <c r="K126" s="267" t="s">
        <v>1641</v>
      </c>
      <c r="L126" s="265" t="n">
        <v>48</v>
      </c>
      <c r="M126" s="264" t="s">
        <v>2005</v>
      </c>
    </row>
    <row r="127" customFormat="false" ht="23.85" hidden="false" customHeight="false" outlineLevel="0" collapsed="false">
      <c r="A127" s="264" t="s">
        <v>1914</v>
      </c>
      <c r="B127" s="264" t="s">
        <v>2006</v>
      </c>
      <c r="C127" s="264" t="s">
        <v>2007</v>
      </c>
      <c r="D127" s="265" t="n">
        <v>18</v>
      </c>
      <c r="E127" s="266" t="n">
        <v>49</v>
      </c>
      <c r="F127" s="266" t="n">
        <v>48.9</v>
      </c>
      <c r="G127" s="266" t="n">
        <v>48.9</v>
      </c>
      <c r="H127" s="265" t="n">
        <v>32</v>
      </c>
      <c r="I127" s="265" t="n">
        <v>34</v>
      </c>
      <c r="J127" s="265" t="n">
        <v>33</v>
      </c>
      <c r="K127" s="267" t="s">
        <v>1641</v>
      </c>
      <c r="L127" s="265" t="n">
        <v>48</v>
      </c>
      <c r="M127" s="264" t="s">
        <v>1990</v>
      </c>
    </row>
    <row r="128" customFormat="false" ht="46.25" hidden="false" customHeight="false" outlineLevel="0" collapsed="false">
      <c r="A128" s="264" t="s">
        <v>1914</v>
      </c>
      <c r="B128" s="264" t="s">
        <v>2008</v>
      </c>
      <c r="C128" s="264" t="s">
        <v>2009</v>
      </c>
      <c r="D128" s="265" t="n">
        <v>26</v>
      </c>
      <c r="E128" s="266" t="n">
        <v>326.17</v>
      </c>
      <c r="F128" s="266" t="n">
        <v>405</v>
      </c>
      <c r="G128" s="266" t="n">
        <v>345.21</v>
      </c>
      <c r="H128" s="265" t="n">
        <v>10</v>
      </c>
      <c r="I128" s="265" t="n">
        <v>10</v>
      </c>
      <c r="J128" s="265" t="n">
        <v>10</v>
      </c>
      <c r="K128" s="267" t="s">
        <v>1641</v>
      </c>
      <c r="L128" s="265" t="n">
        <v>48</v>
      </c>
      <c r="M128" s="264" t="s">
        <v>2010</v>
      </c>
    </row>
    <row r="129" customFormat="false" ht="23.85" hidden="false" customHeight="false" outlineLevel="0" collapsed="false">
      <c r="A129" s="264" t="s">
        <v>1914</v>
      </c>
      <c r="B129" s="264" t="s">
        <v>2011</v>
      </c>
      <c r="C129" s="264" t="s">
        <v>2012</v>
      </c>
      <c r="D129" s="265" t="n">
        <v>33</v>
      </c>
      <c r="E129" s="266" t="n">
        <v>17.25</v>
      </c>
      <c r="F129" s="266" t="n">
        <v>10.41</v>
      </c>
      <c r="G129" s="266" t="n">
        <v>30.9</v>
      </c>
      <c r="H129" s="265" t="n">
        <v>11</v>
      </c>
      <c r="I129" s="265" t="n">
        <v>6</v>
      </c>
      <c r="J129" s="265" t="n">
        <v>20</v>
      </c>
      <c r="K129" s="267" t="s">
        <v>1641</v>
      </c>
      <c r="L129" s="265" t="n">
        <v>48</v>
      </c>
      <c r="M129" s="264" t="s">
        <v>2013</v>
      </c>
    </row>
    <row r="130" customFormat="false" ht="113.4" hidden="false" customHeight="false" outlineLevel="0" collapsed="false">
      <c r="A130" s="264" t="s">
        <v>1914</v>
      </c>
      <c r="B130" s="264" t="s">
        <v>2014</v>
      </c>
      <c r="C130" s="264" t="s">
        <v>2015</v>
      </c>
      <c r="D130" s="265" t="n">
        <v>28</v>
      </c>
      <c r="E130" s="266" t="n">
        <v>1.3</v>
      </c>
      <c r="F130" s="266" t="n">
        <v>8.2</v>
      </c>
      <c r="G130" s="266" t="n">
        <v>4.9</v>
      </c>
      <c r="H130" s="265" t="n">
        <v>4</v>
      </c>
      <c r="I130" s="265" t="n">
        <v>5</v>
      </c>
      <c r="J130" s="265" t="n">
        <v>5</v>
      </c>
      <c r="K130" s="267" t="s">
        <v>1641</v>
      </c>
      <c r="L130" s="265" t="n">
        <v>49</v>
      </c>
      <c r="M130" s="264" t="s">
        <v>2016</v>
      </c>
    </row>
    <row r="131" customFormat="false" ht="35.05" hidden="false" customHeight="false" outlineLevel="0" collapsed="false">
      <c r="A131" s="264" t="s">
        <v>1914</v>
      </c>
      <c r="B131" s="264" t="s">
        <v>2017</v>
      </c>
      <c r="C131" s="264" t="s">
        <v>2018</v>
      </c>
      <c r="D131" s="265" t="n">
        <v>26</v>
      </c>
      <c r="E131" s="266" t="n">
        <v>6.68</v>
      </c>
      <c r="F131" s="266" t="n">
        <v>7.58</v>
      </c>
      <c r="G131" s="266" t="n">
        <v>54.25</v>
      </c>
      <c r="H131" s="265" t="n">
        <v>3</v>
      </c>
      <c r="I131" s="265" t="n">
        <v>4</v>
      </c>
      <c r="J131" s="265" t="n">
        <v>12</v>
      </c>
      <c r="K131" s="267" t="s">
        <v>1641</v>
      </c>
      <c r="L131" s="265" t="n">
        <v>49</v>
      </c>
      <c r="M131" s="264" t="s">
        <v>2019</v>
      </c>
    </row>
    <row r="132" customFormat="false" ht="68.65" hidden="false" customHeight="false" outlineLevel="0" collapsed="false">
      <c r="A132" s="264" t="s">
        <v>1914</v>
      </c>
      <c r="B132" s="264" t="s">
        <v>2020</v>
      </c>
      <c r="C132" s="264" t="s">
        <v>2021</v>
      </c>
      <c r="D132" s="265" t="n">
        <v>144</v>
      </c>
      <c r="E132" s="266" t="n">
        <v>1581</v>
      </c>
      <c r="F132" s="266" t="n">
        <v>1582</v>
      </c>
      <c r="G132" s="266" t="n">
        <v>1649.99</v>
      </c>
      <c r="H132" s="265" t="n">
        <v>34</v>
      </c>
      <c r="I132" s="265" t="n">
        <v>37</v>
      </c>
      <c r="J132" s="265" t="n">
        <v>41</v>
      </c>
      <c r="K132" s="267" t="s">
        <v>1641</v>
      </c>
      <c r="L132" s="265" t="n">
        <v>50</v>
      </c>
      <c r="M132" s="264" t="s">
        <v>2022</v>
      </c>
    </row>
    <row r="133" customFormat="false" ht="79.85" hidden="false" customHeight="false" outlineLevel="0" collapsed="false">
      <c r="A133" s="264" t="s">
        <v>1914</v>
      </c>
      <c r="B133" s="264" t="s">
        <v>2023</v>
      </c>
      <c r="C133" s="264" t="s">
        <v>2024</v>
      </c>
      <c r="D133" s="265" t="n">
        <v>39</v>
      </c>
      <c r="E133" s="266" t="n">
        <v>21.94</v>
      </c>
      <c r="F133" s="266" t="n">
        <v>15.71</v>
      </c>
      <c r="G133" s="266" t="n">
        <v>41.52</v>
      </c>
      <c r="H133" s="265" t="n">
        <v>11</v>
      </c>
      <c r="I133" s="265" t="n">
        <v>8</v>
      </c>
      <c r="J133" s="265" t="n">
        <v>10</v>
      </c>
      <c r="K133" s="267" t="s">
        <v>1641</v>
      </c>
      <c r="L133" s="265" t="n">
        <v>50</v>
      </c>
      <c r="M133" s="264" t="s">
        <v>2025</v>
      </c>
    </row>
    <row r="134" customFormat="false" ht="23.85" hidden="false" customHeight="false" outlineLevel="0" collapsed="false">
      <c r="A134" s="264" t="s">
        <v>1914</v>
      </c>
      <c r="B134" s="264" t="s">
        <v>2026</v>
      </c>
      <c r="C134" s="264" t="s">
        <v>2027</v>
      </c>
      <c r="D134" s="265" t="n">
        <v>16</v>
      </c>
      <c r="E134" s="266" t="n">
        <v>1.5</v>
      </c>
      <c r="F134" s="266" t="n">
        <v>0</v>
      </c>
      <c r="G134" s="266" t="n">
        <v>2.8</v>
      </c>
      <c r="H134" s="265" t="n">
        <v>6</v>
      </c>
      <c r="I134" s="265" t="n">
        <v>4</v>
      </c>
      <c r="J134" s="265" t="n">
        <v>5</v>
      </c>
      <c r="K134" s="267" t="s">
        <v>1641</v>
      </c>
      <c r="L134" s="265" t="n">
        <v>50</v>
      </c>
      <c r="M134" s="264" t="s">
        <v>2028</v>
      </c>
    </row>
    <row r="135" customFormat="false" ht="35.05" hidden="false" customHeight="false" outlineLevel="0" collapsed="false">
      <c r="A135" s="264" t="s">
        <v>1914</v>
      </c>
      <c r="B135" s="264" t="s">
        <v>2029</v>
      </c>
      <c r="C135" s="264" t="s">
        <v>2030</v>
      </c>
      <c r="D135" s="265" t="n">
        <v>67</v>
      </c>
      <c r="E135" s="266" t="n">
        <v>98.2</v>
      </c>
      <c r="F135" s="266" t="n">
        <v>152.18</v>
      </c>
      <c r="G135" s="266" t="n">
        <v>98.5</v>
      </c>
      <c r="H135" s="265" t="n">
        <v>5</v>
      </c>
      <c r="I135" s="265" t="n">
        <v>3</v>
      </c>
      <c r="J135" s="265" t="n">
        <v>4</v>
      </c>
      <c r="K135" s="267" t="s">
        <v>1641</v>
      </c>
      <c r="L135" s="265" t="n">
        <v>51</v>
      </c>
      <c r="M135" s="264" t="s">
        <v>2031</v>
      </c>
    </row>
    <row r="136" customFormat="false" ht="57.45" hidden="false" customHeight="false" outlineLevel="0" collapsed="false">
      <c r="A136" s="264" t="s">
        <v>1914</v>
      </c>
      <c r="B136" s="264" t="s">
        <v>2032</v>
      </c>
      <c r="C136" s="264" t="s">
        <v>2033</v>
      </c>
      <c r="D136" s="265" t="n">
        <v>71</v>
      </c>
      <c r="E136" s="266" t="n">
        <v>312</v>
      </c>
      <c r="F136" s="266" t="n">
        <v>363</v>
      </c>
      <c r="G136" s="266" t="n">
        <v>189</v>
      </c>
      <c r="H136" s="265" t="n">
        <v>9</v>
      </c>
      <c r="I136" s="265" t="n">
        <v>8</v>
      </c>
      <c r="J136" s="265" t="n">
        <v>9</v>
      </c>
      <c r="K136" s="267" t="s">
        <v>1641</v>
      </c>
      <c r="L136" s="265" t="n">
        <v>51</v>
      </c>
      <c r="M136" s="264" t="s">
        <v>2034</v>
      </c>
    </row>
    <row r="137" customFormat="false" ht="35.05" hidden="false" customHeight="false" outlineLevel="0" collapsed="false">
      <c r="A137" s="264" t="s">
        <v>1914</v>
      </c>
      <c r="B137" s="264" t="s">
        <v>2035</v>
      </c>
      <c r="C137" s="264" t="s">
        <v>2036</v>
      </c>
      <c r="D137" s="265" t="n">
        <v>39</v>
      </c>
      <c r="E137" s="266" t="n">
        <v>346.3</v>
      </c>
      <c r="F137" s="266" t="n">
        <v>171.47</v>
      </c>
      <c r="G137" s="266" t="n">
        <v>187.12</v>
      </c>
      <c r="H137" s="265" t="n">
        <v>6</v>
      </c>
      <c r="I137" s="265" t="n">
        <v>6</v>
      </c>
      <c r="J137" s="265" t="n">
        <v>6</v>
      </c>
      <c r="K137" s="267" t="s">
        <v>1641</v>
      </c>
      <c r="L137" s="265" t="n">
        <v>51</v>
      </c>
      <c r="M137" s="264" t="s">
        <v>2037</v>
      </c>
    </row>
    <row r="138" customFormat="false" ht="23.85" hidden="false" customHeight="false" outlineLevel="0" collapsed="false">
      <c r="A138" s="264" t="s">
        <v>1914</v>
      </c>
      <c r="B138" s="264" t="s">
        <v>2038</v>
      </c>
      <c r="C138" s="264" t="s">
        <v>2039</v>
      </c>
      <c r="D138" s="265" t="n">
        <v>61</v>
      </c>
      <c r="E138" s="266" t="n">
        <v>224.98</v>
      </c>
      <c r="F138" s="266" t="n">
        <v>200.5</v>
      </c>
      <c r="G138" s="266" t="n">
        <v>40.2</v>
      </c>
      <c r="H138" s="265" t="n">
        <v>2</v>
      </c>
      <c r="I138" s="265" t="n">
        <v>2</v>
      </c>
      <c r="J138" s="265" t="n">
        <v>2</v>
      </c>
      <c r="K138" s="267" t="s">
        <v>1641</v>
      </c>
      <c r="L138" s="265" t="n">
        <v>51</v>
      </c>
      <c r="M138" s="264" t="s">
        <v>2040</v>
      </c>
    </row>
    <row r="139" customFormat="false" ht="35.05" hidden="false" customHeight="false" outlineLevel="0" collapsed="false">
      <c r="A139" s="264" t="s">
        <v>2041</v>
      </c>
      <c r="B139" s="264" t="s">
        <v>2042</v>
      </c>
      <c r="C139" s="264" t="s">
        <v>2043</v>
      </c>
      <c r="D139" s="265" t="n">
        <v>9</v>
      </c>
      <c r="E139" s="266"/>
      <c r="F139" s="266" t="n">
        <v>24.3</v>
      </c>
      <c r="G139" s="266" t="n">
        <v>18.26</v>
      </c>
      <c r="H139" s="265"/>
      <c r="I139" s="265" t="n">
        <v>9</v>
      </c>
      <c r="J139" s="265" t="n">
        <v>9</v>
      </c>
      <c r="K139" s="267" t="s">
        <v>1641</v>
      </c>
      <c r="L139" s="265" t="n">
        <v>53</v>
      </c>
      <c r="M139" s="264" t="s">
        <v>2044</v>
      </c>
    </row>
    <row r="140" customFormat="false" ht="68.65" hidden="false" customHeight="false" outlineLevel="0" collapsed="false">
      <c r="A140" s="264" t="s">
        <v>2041</v>
      </c>
      <c r="B140" s="264" t="s">
        <v>2045</v>
      </c>
      <c r="C140" s="264" t="s">
        <v>2046</v>
      </c>
      <c r="D140" s="265" t="n">
        <v>18</v>
      </c>
      <c r="E140" s="266" t="n">
        <v>0</v>
      </c>
      <c r="F140" s="266" t="n">
        <v>0</v>
      </c>
      <c r="G140" s="266" t="n">
        <v>0.014</v>
      </c>
      <c r="H140" s="265" t="n">
        <v>10</v>
      </c>
      <c r="I140" s="265" t="n">
        <v>23</v>
      </c>
      <c r="J140" s="265" t="n">
        <v>21</v>
      </c>
      <c r="K140" s="267" t="s">
        <v>1641</v>
      </c>
      <c r="L140" s="265" t="n">
        <v>53</v>
      </c>
      <c r="M140" s="264" t="s">
        <v>2047</v>
      </c>
    </row>
    <row r="141" customFormat="false" ht="57.45" hidden="false" customHeight="false" outlineLevel="0" collapsed="false">
      <c r="A141" s="264" t="s">
        <v>2041</v>
      </c>
      <c r="B141" s="264" t="s">
        <v>2048</v>
      </c>
      <c r="C141" s="264" t="s">
        <v>2049</v>
      </c>
      <c r="D141" s="265" t="n">
        <v>32</v>
      </c>
      <c r="E141" s="266" t="n">
        <v>29.05</v>
      </c>
      <c r="F141" s="266" t="n">
        <v>1500</v>
      </c>
      <c r="G141" s="266" t="n">
        <v>1500</v>
      </c>
      <c r="H141" s="265" t="n">
        <v>35</v>
      </c>
      <c r="I141" s="265" t="n">
        <v>39</v>
      </c>
      <c r="J141" s="265" t="n">
        <v>44</v>
      </c>
      <c r="K141" s="267" t="s">
        <v>1641</v>
      </c>
      <c r="L141" s="265" t="n">
        <v>53</v>
      </c>
      <c r="M141" s="264" t="s">
        <v>2050</v>
      </c>
    </row>
    <row r="142" customFormat="false" ht="57.45" hidden="false" customHeight="false" outlineLevel="0" collapsed="false">
      <c r="A142" s="264" t="s">
        <v>2041</v>
      </c>
      <c r="B142" s="264" t="s">
        <v>2051</v>
      </c>
      <c r="C142" s="264" t="s">
        <v>2052</v>
      </c>
      <c r="D142" s="265" t="n">
        <v>6</v>
      </c>
      <c r="E142" s="266" t="n">
        <v>15</v>
      </c>
      <c r="F142" s="266" t="n">
        <v>14.8</v>
      </c>
      <c r="G142" s="266" t="n">
        <v>18.5</v>
      </c>
      <c r="H142" s="265" t="n">
        <v>9</v>
      </c>
      <c r="I142" s="265" t="n">
        <v>7</v>
      </c>
      <c r="J142" s="265" t="n">
        <v>8</v>
      </c>
      <c r="K142" s="267" t="s">
        <v>1641</v>
      </c>
      <c r="L142" s="265" t="n">
        <v>54</v>
      </c>
      <c r="M142" s="264" t="s">
        <v>2053</v>
      </c>
    </row>
    <row r="143" customFormat="false" ht="124.6" hidden="false" customHeight="false" outlineLevel="0" collapsed="false">
      <c r="A143" s="264" t="s">
        <v>2041</v>
      </c>
      <c r="B143" s="264" t="s">
        <v>2054</v>
      </c>
      <c r="C143" s="264" t="s">
        <v>2055</v>
      </c>
      <c r="D143" s="265" t="n">
        <v>7</v>
      </c>
      <c r="E143" s="266" t="n">
        <v>4.2</v>
      </c>
      <c r="F143" s="266" t="n">
        <v>2.5</v>
      </c>
      <c r="G143" s="266" t="n">
        <v>3.6</v>
      </c>
      <c r="H143" s="265" t="n">
        <v>7</v>
      </c>
      <c r="I143" s="265" t="n">
        <v>3</v>
      </c>
      <c r="J143" s="265" t="n">
        <v>3</v>
      </c>
      <c r="K143" s="267" t="s">
        <v>1641</v>
      </c>
      <c r="L143" s="265" t="n">
        <v>54</v>
      </c>
      <c r="M143" s="264" t="s">
        <v>2056</v>
      </c>
    </row>
    <row r="144" customFormat="false" ht="57.45" hidden="false" customHeight="false" outlineLevel="0" collapsed="false">
      <c r="A144" s="264" t="s">
        <v>2041</v>
      </c>
      <c r="B144" s="264" t="s">
        <v>2057</v>
      </c>
      <c r="C144" s="264" t="s">
        <v>2058</v>
      </c>
      <c r="D144" s="265" t="n">
        <v>23</v>
      </c>
      <c r="E144" s="266" t="n">
        <v>0</v>
      </c>
      <c r="F144" s="266" t="n">
        <v>0</v>
      </c>
      <c r="G144" s="266" t="n">
        <v>0</v>
      </c>
      <c r="H144" s="265" t="n">
        <v>6</v>
      </c>
      <c r="I144" s="265" t="n">
        <v>5</v>
      </c>
      <c r="J144" s="265" t="n">
        <v>4</v>
      </c>
      <c r="K144" s="267" t="s">
        <v>1641</v>
      </c>
      <c r="L144" s="265" t="n">
        <v>55</v>
      </c>
      <c r="M144" s="264" t="s">
        <v>2059</v>
      </c>
    </row>
    <row r="145" customFormat="false" ht="57.45" hidden="false" customHeight="false" outlineLevel="0" collapsed="false">
      <c r="A145" s="264" t="s">
        <v>2041</v>
      </c>
      <c r="B145" s="264" t="s">
        <v>2060</v>
      </c>
      <c r="C145" s="264" t="s">
        <v>2061</v>
      </c>
      <c r="D145" s="265" t="n">
        <v>106</v>
      </c>
      <c r="E145" s="266" t="n">
        <v>0</v>
      </c>
      <c r="F145" s="266" t="n">
        <v>0</v>
      </c>
      <c r="G145" s="266" t="n">
        <v>0</v>
      </c>
      <c r="H145" s="265" t="n">
        <v>3</v>
      </c>
      <c r="I145" s="265" t="n">
        <v>4</v>
      </c>
      <c r="J145" s="265" t="n">
        <v>5</v>
      </c>
      <c r="K145" s="267" t="s">
        <v>1641</v>
      </c>
      <c r="L145" s="265" t="n">
        <v>55</v>
      </c>
      <c r="M145" s="264" t="s">
        <v>2062</v>
      </c>
    </row>
    <row r="146" customFormat="false" ht="46.25" hidden="false" customHeight="false" outlineLevel="0" collapsed="false">
      <c r="A146" s="264" t="s">
        <v>2041</v>
      </c>
      <c r="B146" s="264" t="s">
        <v>2063</v>
      </c>
      <c r="C146" s="264" t="s">
        <v>2064</v>
      </c>
      <c r="D146" s="265" t="n">
        <v>16</v>
      </c>
      <c r="E146" s="266" t="n">
        <v>23.9</v>
      </c>
      <c r="F146" s="266" t="n">
        <v>29.3</v>
      </c>
      <c r="G146" s="266" t="n">
        <v>31.9</v>
      </c>
      <c r="H146" s="265" t="n">
        <v>16</v>
      </c>
      <c r="I146" s="265" t="n">
        <v>50</v>
      </c>
      <c r="J146" s="265" t="n">
        <v>51</v>
      </c>
      <c r="K146" s="267" t="s">
        <v>1641</v>
      </c>
      <c r="L146" s="265" t="n">
        <v>55</v>
      </c>
      <c r="M146" s="264" t="s">
        <v>2065</v>
      </c>
    </row>
    <row r="147" customFormat="false" ht="23.85" hidden="false" customHeight="false" outlineLevel="0" collapsed="false">
      <c r="A147" s="264" t="s">
        <v>2041</v>
      </c>
      <c r="B147" s="264" t="s">
        <v>2066</v>
      </c>
      <c r="C147" s="264" t="s">
        <v>2067</v>
      </c>
      <c r="D147" s="265" t="n">
        <v>24</v>
      </c>
      <c r="E147" s="266" t="n">
        <v>0</v>
      </c>
      <c r="F147" s="266" t="n">
        <v>0</v>
      </c>
      <c r="G147" s="266" t="n">
        <v>0</v>
      </c>
      <c r="H147" s="265" t="n">
        <v>4</v>
      </c>
      <c r="I147" s="265" t="n">
        <v>4</v>
      </c>
      <c r="J147" s="265" t="n">
        <v>4</v>
      </c>
      <c r="K147" s="267" t="s">
        <v>1641</v>
      </c>
      <c r="L147" s="265" t="n">
        <v>55</v>
      </c>
      <c r="M147" s="264"/>
    </row>
    <row r="148" customFormat="false" ht="35.05" hidden="false" customHeight="false" outlineLevel="0" collapsed="false">
      <c r="A148" s="264" t="s">
        <v>2041</v>
      </c>
      <c r="B148" s="264" t="s">
        <v>1740</v>
      </c>
      <c r="C148" s="264" t="s">
        <v>2068</v>
      </c>
      <c r="D148" s="265" t="n">
        <v>3</v>
      </c>
      <c r="E148" s="266" t="n">
        <v>0</v>
      </c>
      <c r="F148" s="266" t="n">
        <v>0</v>
      </c>
      <c r="G148" s="266" t="n">
        <v>0</v>
      </c>
      <c r="H148" s="265" t="n">
        <v>0</v>
      </c>
      <c r="I148" s="265" t="n">
        <v>6</v>
      </c>
      <c r="J148" s="265" t="n">
        <v>1</v>
      </c>
      <c r="K148" s="267" t="s">
        <v>1641</v>
      </c>
      <c r="L148" s="265" t="n">
        <v>56</v>
      </c>
      <c r="M148" s="264" t="s">
        <v>2069</v>
      </c>
    </row>
    <row r="149" customFormat="false" ht="57.45" hidden="false" customHeight="false" outlineLevel="0" collapsed="false">
      <c r="A149" s="264" t="s">
        <v>2041</v>
      </c>
      <c r="B149" s="264" t="s">
        <v>2070</v>
      </c>
      <c r="C149" s="264" t="s">
        <v>2071</v>
      </c>
      <c r="D149" s="265" t="n">
        <v>23</v>
      </c>
      <c r="E149" s="266" t="n">
        <v>0</v>
      </c>
      <c r="F149" s="266" t="n">
        <v>0</v>
      </c>
      <c r="G149" s="266" t="n">
        <v>0</v>
      </c>
      <c r="H149" s="265" t="n">
        <v>3</v>
      </c>
      <c r="I149" s="265" t="n">
        <v>2</v>
      </c>
      <c r="J149" s="265" t="n">
        <v>3</v>
      </c>
      <c r="K149" s="267" t="s">
        <v>1641</v>
      </c>
      <c r="L149" s="265" t="n">
        <v>56</v>
      </c>
      <c r="M149" s="264" t="s">
        <v>2072</v>
      </c>
    </row>
    <row r="150" customFormat="false" ht="57.45" hidden="false" customHeight="false" outlineLevel="0" collapsed="false">
      <c r="A150" s="264" t="s">
        <v>2041</v>
      </c>
      <c r="B150" s="264" t="s">
        <v>2073</v>
      </c>
      <c r="C150" s="264" t="s">
        <v>2074</v>
      </c>
      <c r="D150" s="265" t="n">
        <v>9</v>
      </c>
      <c r="E150" s="266" t="n">
        <v>0</v>
      </c>
      <c r="F150" s="266" t="n">
        <v>0</v>
      </c>
      <c r="G150" s="266" t="n">
        <v>0</v>
      </c>
      <c r="H150" s="265" t="n">
        <v>1</v>
      </c>
      <c r="I150" s="265" t="n">
        <v>3</v>
      </c>
      <c r="J150" s="265" t="n">
        <v>0</v>
      </c>
      <c r="K150" s="267" t="s">
        <v>1641</v>
      </c>
      <c r="L150" s="265" t="n">
        <v>56</v>
      </c>
      <c r="M150" s="264" t="s">
        <v>2075</v>
      </c>
    </row>
    <row r="151" customFormat="false" ht="102.2" hidden="false" customHeight="false" outlineLevel="0" collapsed="false">
      <c r="A151" s="264" t="s">
        <v>2041</v>
      </c>
      <c r="B151" s="264" t="s">
        <v>2076</v>
      </c>
      <c r="C151" s="264" t="s">
        <v>2077</v>
      </c>
      <c r="D151" s="265" t="n">
        <v>26</v>
      </c>
      <c r="E151" s="266" t="n">
        <v>2</v>
      </c>
      <c r="F151" s="266" t="n">
        <v>7.6</v>
      </c>
      <c r="G151" s="266" t="n">
        <v>23.2</v>
      </c>
      <c r="H151" s="265" t="n">
        <v>3</v>
      </c>
      <c r="I151" s="265" t="n">
        <v>4</v>
      </c>
      <c r="J151" s="265" t="n">
        <v>3</v>
      </c>
      <c r="K151" s="267" t="s">
        <v>1641</v>
      </c>
      <c r="L151" s="265" t="n">
        <v>57</v>
      </c>
      <c r="M151" s="264" t="s">
        <v>2078</v>
      </c>
    </row>
    <row r="152" customFormat="false" ht="23.85" hidden="false" customHeight="false" outlineLevel="0" collapsed="false">
      <c r="A152" s="264" t="s">
        <v>2041</v>
      </c>
      <c r="B152" s="264" t="s">
        <v>2079</v>
      </c>
      <c r="C152" s="264" t="s">
        <v>2080</v>
      </c>
      <c r="D152" s="265" t="n">
        <v>13</v>
      </c>
      <c r="E152" s="266" t="n">
        <v>10.7</v>
      </c>
      <c r="F152" s="266" t="n">
        <v>18.4</v>
      </c>
      <c r="G152" s="266" t="n">
        <v>16.1</v>
      </c>
      <c r="H152" s="265" t="n">
        <v>6</v>
      </c>
      <c r="I152" s="265" t="n">
        <v>10</v>
      </c>
      <c r="J152" s="265" t="n">
        <v>6</v>
      </c>
      <c r="K152" s="267" t="s">
        <v>1641</v>
      </c>
      <c r="L152" s="265" t="n">
        <v>57</v>
      </c>
      <c r="M152" s="264"/>
    </row>
    <row r="153" customFormat="false" ht="57.45" hidden="false" customHeight="false" outlineLevel="0" collapsed="false">
      <c r="A153" s="264" t="s">
        <v>2041</v>
      </c>
      <c r="B153" s="264" t="s">
        <v>2081</v>
      </c>
      <c r="C153" s="264" t="s">
        <v>2082</v>
      </c>
      <c r="D153" s="265" t="n">
        <v>40</v>
      </c>
      <c r="E153" s="266" t="n">
        <v>0</v>
      </c>
      <c r="F153" s="266" t="n">
        <v>0</v>
      </c>
      <c r="G153" s="266" t="n">
        <v>0</v>
      </c>
      <c r="H153" s="265" t="n">
        <v>2</v>
      </c>
      <c r="I153" s="265" t="n">
        <v>2</v>
      </c>
      <c r="J153" s="265" t="n">
        <v>2</v>
      </c>
      <c r="K153" s="267" t="s">
        <v>1641</v>
      </c>
      <c r="L153" s="265" t="n">
        <v>57</v>
      </c>
      <c r="M153" s="264" t="s">
        <v>2083</v>
      </c>
    </row>
    <row r="154" customFormat="false" ht="23.85" hidden="false" customHeight="false" outlineLevel="0" collapsed="false">
      <c r="A154" s="264" t="s">
        <v>2041</v>
      </c>
      <c r="B154" s="264" t="s">
        <v>2084</v>
      </c>
      <c r="C154" s="264" t="s">
        <v>2085</v>
      </c>
      <c r="D154" s="265" t="n">
        <v>10</v>
      </c>
      <c r="E154" s="266" t="n">
        <v>0</v>
      </c>
      <c r="F154" s="266" t="n">
        <v>0</v>
      </c>
      <c r="G154" s="266" t="n">
        <v>0</v>
      </c>
      <c r="H154" s="265" t="n">
        <v>24</v>
      </c>
      <c r="I154" s="265" t="n">
        <v>26</v>
      </c>
      <c r="J154" s="265" t="n">
        <v>26</v>
      </c>
      <c r="K154" s="267" t="s">
        <v>1641</v>
      </c>
      <c r="L154" s="265" t="n">
        <v>57</v>
      </c>
      <c r="M154" s="264" t="s">
        <v>2086</v>
      </c>
    </row>
    <row r="155" customFormat="false" ht="46.25" hidden="false" customHeight="false" outlineLevel="0" collapsed="false">
      <c r="A155" s="264" t="s">
        <v>2041</v>
      </c>
      <c r="B155" s="264" t="s">
        <v>2087</v>
      </c>
      <c r="C155" s="264" t="s">
        <v>2088</v>
      </c>
      <c r="D155" s="265" t="n">
        <v>12</v>
      </c>
      <c r="E155" s="266" t="n">
        <v>93</v>
      </c>
      <c r="F155" s="266" t="n">
        <v>93</v>
      </c>
      <c r="G155" s="266" t="n">
        <v>93</v>
      </c>
      <c r="H155" s="265" t="n">
        <v>7</v>
      </c>
      <c r="I155" s="265" t="n">
        <v>7</v>
      </c>
      <c r="J155" s="265" t="n">
        <v>7</v>
      </c>
      <c r="K155" s="267" t="s">
        <v>1641</v>
      </c>
      <c r="L155" s="265" t="n">
        <v>58</v>
      </c>
      <c r="M155" s="264" t="s">
        <v>2089</v>
      </c>
    </row>
    <row r="156" customFormat="false" ht="23.85" hidden="false" customHeight="false" outlineLevel="0" collapsed="false">
      <c r="A156" s="264" t="s">
        <v>2041</v>
      </c>
      <c r="B156" s="264" t="s">
        <v>2090</v>
      </c>
      <c r="C156" s="264" t="s">
        <v>2091</v>
      </c>
      <c r="D156" s="265" t="n">
        <v>30</v>
      </c>
      <c r="E156" s="266" t="n">
        <v>0</v>
      </c>
      <c r="F156" s="266" t="n">
        <v>0</v>
      </c>
      <c r="G156" s="266" t="n">
        <v>0</v>
      </c>
      <c r="H156" s="265" t="n">
        <v>5</v>
      </c>
      <c r="I156" s="265" t="n">
        <v>4</v>
      </c>
      <c r="J156" s="265" t="n">
        <v>4</v>
      </c>
      <c r="K156" s="267" t="s">
        <v>1641</v>
      </c>
      <c r="L156" s="265" t="n">
        <v>58</v>
      </c>
      <c r="M156" s="264"/>
    </row>
    <row r="157" customFormat="false" ht="35.05" hidden="false" customHeight="false" outlineLevel="0" collapsed="false">
      <c r="A157" s="264" t="s">
        <v>2041</v>
      </c>
      <c r="B157" s="264" t="s">
        <v>2092</v>
      </c>
      <c r="C157" s="264" t="s">
        <v>2093</v>
      </c>
      <c r="D157" s="265" t="n">
        <v>7</v>
      </c>
      <c r="E157" s="266" t="n">
        <v>25.8</v>
      </c>
      <c r="F157" s="266" t="n">
        <v>65.66</v>
      </c>
      <c r="G157" s="266" t="n">
        <v>41</v>
      </c>
      <c r="H157" s="265" t="n">
        <v>31</v>
      </c>
      <c r="I157" s="265" t="n">
        <v>30</v>
      </c>
      <c r="J157" s="265" t="n">
        <v>31</v>
      </c>
      <c r="K157" s="267" t="s">
        <v>1641</v>
      </c>
      <c r="L157" s="265" t="n">
        <v>58</v>
      </c>
      <c r="M157" s="264" t="s">
        <v>2094</v>
      </c>
    </row>
    <row r="158" customFormat="false" ht="46.25" hidden="false" customHeight="false" outlineLevel="0" collapsed="false">
      <c r="A158" s="264" t="s">
        <v>2041</v>
      </c>
      <c r="B158" s="264" t="s">
        <v>2095</v>
      </c>
      <c r="C158" s="264" t="s">
        <v>2096</v>
      </c>
      <c r="D158" s="265" t="n">
        <v>21</v>
      </c>
      <c r="E158" s="266" t="n">
        <v>437</v>
      </c>
      <c r="F158" s="266" t="n">
        <v>440</v>
      </c>
      <c r="G158" s="266" t="n">
        <v>440</v>
      </c>
      <c r="H158" s="265" t="n">
        <v>52</v>
      </c>
      <c r="I158" s="265" t="n">
        <v>89</v>
      </c>
      <c r="J158" s="265" t="n">
        <v>55</v>
      </c>
      <c r="K158" s="267" t="s">
        <v>1641</v>
      </c>
      <c r="L158" s="265" t="n">
        <v>58</v>
      </c>
      <c r="M158" s="264" t="s">
        <v>2097</v>
      </c>
    </row>
    <row r="159" customFormat="false" ht="35.05" hidden="false" customHeight="false" outlineLevel="0" collapsed="false">
      <c r="A159" s="264" t="s">
        <v>2041</v>
      </c>
      <c r="B159" s="264" t="s">
        <v>2098</v>
      </c>
      <c r="C159" s="264" t="s">
        <v>2099</v>
      </c>
      <c r="D159" s="265" t="n">
        <v>10</v>
      </c>
      <c r="E159" s="266" t="n">
        <v>0</v>
      </c>
      <c r="F159" s="266" t="n">
        <v>0</v>
      </c>
      <c r="G159" s="266" t="n">
        <v>0</v>
      </c>
      <c r="H159" s="265" t="n">
        <v>0</v>
      </c>
      <c r="I159" s="265" t="n">
        <v>0</v>
      </c>
      <c r="J159" s="265" t="n">
        <v>0</v>
      </c>
      <c r="K159" s="267" t="s">
        <v>1641</v>
      </c>
      <c r="L159" s="265" t="n">
        <v>59</v>
      </c>
      <c r="M159" s="264"/>
    </row>
    <row r="160" customFormat="false" ht="23.85" hidden="false" customHeight="false" outlineLevel="0" collapsed="false">
      <c r="A160" s="264" t="s">
        <v>2041</v>
      </c>
      <c r="B160" s="264" t="s">
        <v>2100</v>
      </c>
      <c r="C160" s="264" t="s">
        <v>2101</v>
      </c>
      <c r="D160" s="265" t="n">
        <v>5</v>
      </c>
      <c r="E160" s="266" t="n">
        <v>0</v>
      </c>
      <c r="F160" s="266" t="n">
        <v>0</v>
      </c>
      <c r="G160" s="266" t="n">
        <v>0</v>
      </c>
      <c r="H160" s="265" t="n">
        <v>1</v>
      </c>
      <c r="I160" s="265" t="n">
        <v>1</v>
      </c>
      <c r="J160" s="265" t="n">
        <v>1</v>
      </c>
      <c r="K160" s="267" t="s">
        <v>1641</v>
      </c>
      <c r="L160" s="265" t="n">
        <v>59</v>
      </c>
      <c r="M160" s="264"/>
    </row>
    <row r="161" customFormat="false" ht="23.85" hidden="false" customHeight="false" outlineLevel="0" collapsed="false">
      <c r="A161" s="264" t="s">
        <v>2041</v>
      </c>
      <c r="B161" s="264" t="s">
        <v>2102</v>
      </c>
      <c r="C161" s="264" t="s">
        <v>2103</v>
      </c>
      <c r="D161" s="265" t="n">
        <v>17</v>
      </c>
      <c r="E161" s="266" t="n">
        <v>8.88</v>
      </c>
      <c r="F161" s="266" t="n">
        <v>18.23</v>
      </c>
      <c r="G161" s="266" t="n">
        <v>11.22</v>
      </c>
      <c r="H161" s="265" t="n">
        <v>10</v>
      </c>
      <c r="I161" s="265" t="n">
        <v>9</v>
      </c>
      <c r="J161" s="265" t="n">
        <v>9</v>
      </c>
      <c r="K161" s="267" t="s">
        <v>1641</v>
      </c>
      <c r="L161" s="265" t="n">
        <v>59</v>
      </c>
      <c r="M161" s="264" t="s">
        <v>2104</v>
      </c>
    </row>
    <row r="162" customFormat="false" ht="23.85" hidden="false" customHeight="false" outlineLevel="0" collapsed="false">
      <c r="A162" s="264" t="s">
        <v>2041</v>
      </c>
      <c r="B162" s="264" t="s">
        <v>2105</v>
      </c>
      <c r="C162" s="264" t="s">
        <v>2106</v>
      </c>
      <c r="D162" s="265" t="n">
        <v>38</v>
      </c>
      <c r="E162" s="266" t="n">
        <v>0</v>
      </c>
      <c r="F162" s="266" t="n">
        <v>0</v>
      </c>
      <c r="G162" s="266" t="n">
        <v>0</v>
      </c>
      <c r="H162" s="265" t="n">
        <v>2</v>
      </c>
      <c r="I162" s="265" t="n">
        <v>2</v>
      </c>
      <c r="J162" s="265" t="n">
        <v>2</v>
      </c>
      <c r="K162" s="267" t="s">
        <v>1641</v>
      </c>
      <c r="L162" s="265" t="n">
        <v>60</v>
      </c>
      <c r="M162" s="264"/>
    </row>
    <row r="163" customFormat="false" ht="46.25" hidden="false" customHeight="false" outlineLevel="0" collapsed="false">
      <c r="A163" s="264" t="s">
        <v>2041</v>
      </c>
      <c r="B163" s="264" t="s">
        <v>2107</v>
      </c>
      <c r="C163" s="264" t="s">
        <v>2108</v>
      </c>
      <c r="D163" s="265" t="n">
        <v>47</v>
      </c>
      <c r="E163" s="266" t="n">
        <v>0</v>
      </c>
      <c r="F163" s="266" t="n">
        <v>0</v>
      </c>
      <c r="G163" s="266" t="n">
        <v>0</v>
      </c>
      <c r="H163" s="265" t="n">
        <v>2</v>
      </c>
      <c r="I163" s="265" t="n">
        <v>1</v>
      </c>
      <c r="J163" s="265" t="n">
        <v>0</v>
      </c>
      <c r="K163" s="267" t="s">
        <v>1641</v>
      </c>
      <c r="L163" s="265" t="n">
        <v>60</v>
      </c>
      <c r="M163" s="264" t="s">
        <v>2109</v>
      </c>
    </row>
    <row r="164" customFormat="false" ht="35.05" hidden="false" customHeight="false" outlineLevel="0" collapsed="false">
      <c r="A164" s="264" t="s">
        <v>2041</v>
      </c>
      <c r="B164" s="264" t="s">
        <v>2110</v>
      </c>
      <c r="C164" s="264" t="s">
        <v>2111</v>
      </c>
      <c r="D164" s="265" t="n">
        <v>8</v>
      </c>
      <c r="E164" s="266" t="n">
        <v>0</v>
      </c>
      <c r="F164" s="266" t="n">
        <v>0</v>
      </c>
      <c r="G164" s="266" t="n">
        <v>0</v>
      </c>
      <c r="H164" s="265" t="n">
        <v>1</v>
      </c>
      <c r="I164" s="265" t="n">
        <v>0</v>
      </c>
      <c r="J164" s="265" t="n">
        <v>0</v>
      </c>
      <c r="K164" s="267" t="s">
        <v>1641</v>
      </c>
      <c r="L164" s="265" t="n">
        <v>60</v>
      </c>
      <c r="M164" s="264" t="s">
        <v>2112</v>
      </c>
    </row>
    <row r="165" customFormat="false" ht="79.85" hidden="false" customHeight="false" outlineLevel="0" collapsed="false">
      <c r="A165" s="264" t="s">
        <v>2041</v>
      </c>
      <c r="B165" s="264" t="s">
        <v>2113</v>
      </c>
      <c r="C165" s="264" t="s">
        <v>2114</v>
      </c>
      <c r="D165" s="265" t="n">
        <v>30</v>
      </c>
      <c r="E165" s="266" t="n">
        <v>0</v>
      </c>
      <c r="F165" s="266" t="n">
        <v>0</v>
      </c>
      <c r="G165" s="266" t="n">
        <v>0</v>
      </c>
      <c r="H165" s="265" t="n">
        <v>9</v>
      </c>
      <c r="I165" s="265" t="n">
        <v>9</v>
      </c>
      <c r="J165" s="265" t="n">
        <v>8</v>
      </c>
      <c r="K165" s="267" t="s">
        <v>1641</v>
      </c>
      <c r="L165" s="265" t="n">
        <v>60</v>
      </c>
      <c r="M165" s="264" t="s">
        <v>2115</v>
      </c>
    </row>
    <row r="166" customFormat="false" ht="180.55" hidden="false" customHeight="false" outlineLevel="0" collapsed="false">
      <c r="A166" s="264" t="s">
        <v>2041</v>
      </c>
      <c r="B166" s="264" t="s">
        <v>2116</v>
      </c>
      <c r="C166" s="264" t="s">
        <v>2117</v>
      </c>
      <c r="D166" s="265" t="n">
        <v>14</v>
      </c>
      <c r="E166" s="266" t="n">
        <v>577.44</v>
      </c>
      <c r="F166" s="266" t="n">
        <v>390.44</v>
      </c>
      <c r="G166" s="266" t="n">
        <v>510.9</v>
      </c>
      <c r="H166" s="265" t="n">
        <v>19</v>
      </c>
      <c r="I166" s="265" t="n">
        <v>10</v>
      </c>
      <c r="J166" s="265" t="n">
        <v>10</v>
      </c>
      <c r="K166" s="267" t="s">
        <v>1641</v>
      </c>
      <c r="L166" s="265" t="n">
        <v>61</v>
      </c>
      <c r="M166" s="264" t="s">
        <v>2118</v>
      </c>
    </row>
    <row r="167" customFormat="false" ht="91" hidden="false" customHeight="false" outlineLevel="0" collapsed="false">
      <c r="A167" s="264" t="s">
        <v>2041</v>
      </c>
      <c r="B167" s="264" t="s">
        <v>2119</v>
      </c>
      <c r="C167" s="264" t="s">
        <v>2120</v>
      </c>
      <c r="D167" s="265" t="n">
        <v>20</v>
      </c>
      <c r="E167" s="266" t="n">
        <v>1342.23</v>
      </c>
      <c r="F167" s="266" t="n">
        <v>1427.1</v>
      </c>
      <c r="G167" s="266" t="n">
        <v>1287.3</v>
      </c>
      <c r="H167" s="265" t="n">
        <v>84</v>
      </c>
      <c r="I167" s="265" t="n">
        <v>81</v>
      </c>
      <c r="J167" s="265" t="n">
        <v>5</v>
      </c>
      <c r="K167" s="267" t="s">
        <v>1641</v>
      </c>
      <c r="L167" s="265" t="n">
        <v>62</v>
      </c>
      <c r="M167" s="264" t="s">
        <v>2121</v>
      </c>
    </row>
    <row r="168" customFormat="false" ht="46.25" hidden="false" customHeight="false" outlineLevel="0" collapsed="false">
      <c r="A168" s="264" t="s">
        <v>2041</v>
      </c>
      <c r="B168" s="264" t="s">
        <v>2122</v>
      </c>
      <c r="C168" s="264" t="s">
        <v>2123</v>
      </c>
      <c r="D168" s="265" t="n">
        <v>46</v>
      </c>
      <c r="E168" s="266" t="n">
        <v>0</v>
      </c>
      <c r="F168" s="266" t="n">
        <v>0</v>
      </c>
      <c r="G168" s="266" t="n">
        <v>0</v>
      </c>
      <c r="H168" s="265" t="n">
        <v>8</v>
      </c>
      <c r="I168" s="265" t="n">
        <v>11</v>
      </c>
      <c r="J168" s="265" t="n">
        <v>8</v>
      </c>
      <c r="K168" s="267" t="s">
        <v>1641</v>
      </c>
      <c r="L168" s="265" t="n">
        <v>62</v>
      </c>
      <c r="M168" s="264" t="s">
        <v>2124</v>
      </c>
    </row>
    <row r="169" customFormat="false" ht="91" hidden="false" customHeight="false" outlineLevel="0" collapsed="false">
      <c r="A169" s="264" t="s">
        <v>2041</v>
      </c>
      <c r="B169" s="264" t="s">
        <v>2125</v>
      </c>
      <c r="C169" s="264" t="s">
        <v>2126</v>
      </c>
      <c r="D169" s="265" t="n">
        <v>44</v>
      </c>
      <c r="E169" s="266" t="n">
        <v>34</v>
      </c>
      <c r="F169" s="266" t="n">
        <v>41</v>
      </c>
      <c r="G169" s="266" t="n">
        <v>23</v>
      </c>
      <c r="H169" s="265" t="n">
        <v>21</v>
      </c>
      <c r="I169" s="265" t="n">
        <v>26</v>
      </c>
      <c r="J169" s="265" t="n">
        <v>24</v>
      </c>
      <c r="K169" s="267" t="s">
        <v>1641</v>
      </c>
      <c r="L169" s="265" t="n">
        <v>63</v>
      </c>
      <c r="M169" s="264" t="s">
        <v>2127</v>
      </c>
    </row>
    <row r="170" customFormat="false" ht="57.45" hidden="false" customHeight="false" outlineLevel="0" collapsed="false">
      <c r="A170" s="264" t="s">
        <v>2041</v>
      </c>
      <c r="B170" s="264" t="s">
        <v>2128</v>
      </c>
      <c r="C170" s="264" t="s">
        <v>2129</v>
      </c>
      <c r="D170" s="265" t="n">
        <v>90</v>
      </c>
      <c r="E170" s="266" t="n">
        <v>0</v>
      </c>
      <c r="F170" s="266" t="n">
        <v>0</v>
      </c>
      <c r="G170" s="266" t="n">
        <v>0</v>
      </c>
      <c r="H170" s="265" t="n">
        <v>14</v>
      </c>
      <c r="I170" s="265" t="n">
        <v>16</v>
      </c>
      <c r="J170" s="265" t="n">
        <v>18</v>
      </c>
      <c r="K170" s="267" t="s">
        <v>1641</v>
      </c>
      <c r="L170" s="265" t="n">
        <v>63</v>
      </c>
      <c r="M170" s="264"/>
    </row>
    <row r="171" customFormat="false" ht="23.85" hidden="false" customHeight="false" outlineLevel="0" collapsed="false">
      <c r="A171" s="264" t="s">
        <v>2041</v>
      </c>
      <c r="B171" s="264" t="s">
        <v>2130</v>
      </c>
      <c r="C171" s="264" t="s">
        <v>2131</v>
      </c>
      <c r="D171" s="265" t="n">
        <v>106</v>
      </c>
      <c r="E171" s="266"/>
      <c r="F171" s="266" t="n">
        <v>150</v>
      </c>
      <c r="G171" s="266" t="n">
        <v>141.6</v>
      </c>
      <c r="H171" s="265"/>
      <c r="I171" s="265" t="n">
        <v>1</v>
      </c>
      <c r="J171" s="265" t="n">
        <v>2</v>
      </c>
      <c r="K171" s="267" t="s">
        <v>1641</v>
      </c>
      <c r="L171" s="265" t="n">
        <v>64</v>
      </c>
      <c r="M171" s="264"/>
    </row>
    <row r="172" customFormat="false" ht="102.2" hidden="false" customHeight="false" outlineLevel="0" collapsed="false">
      <c r="A172" s="264" t="s">
        <v>2041</v>
      </c>
      <c r="B172" s="264" t="s">
        <v>2132</v>
      </c>
      <c r="C172" s="264" t="s">
        <v>2133</v>
      </c>
      <c r="D172" s="265" t="n">
        <v>21</v>
      </c>
      <c r="E172" s="266" t="n">
        <v>129</v>
      </c>
      <c r="F172" s="266" t="n">
        <v>85</v>
      </c>
      <c r="G172" s="266" t="n">
        <v>64</v>
      </c>
      <c r="H172" s="265" t="n">
        <v>10</v>
      </c>
      <c r="I172" s="265" t="n">
        <v>10</v>
      </c>
      <c r="J172" s="265" t="n">
        <v>0</v>
      </c>
      <c r="K172" s="267" t="s">
        <v>1641</v>
      </c>
      <c r="L172" s="265" t="n">
        <v>64</v>
      </c>
      <c r="M172" s="264" t="s">
        <v>2134</v>
      </c>
    </row>
    <row r="173" customFormat="false" ht="35.05" hidden="false" customHeight="false" outlineLevel="0" collapsed="false">
      <c r="A173" s="264" t="s">
        <v>2041</v>
      </c>
      <c r="B173" s="264" t="s">
        <v>2135</v>
      </c>
      <c r="C173" s="264" t="s">
        <v>2136</v>
      </c>
      <c r="D173" s="265" t="n">
        <v>42</v>
      </c>
      <c r="E173" s="266" t="n">
        <v>267.02</v>
      </c>
      <c r="F173" s="266" t="n">
        <v>284.18</v>
      </c>
      <c r="G173" s="266" t="n">
        <v>293.32</v>
      </c>
      <c r="H173" s="265" t="n">
        <v>20</v>
      </c>
      <c r="I173" s="265" t="n">
        <v>19</v>
      </c>
      <c r="J173" s="265" t="n">
        <v>15</v>
      </c>
      <c r="K173" s="267" t="s">
        <v>1641</v>
      </c>
      <c r="L173" s="265" t="n">
        <v>64</v>
      </c>
      <c r="M173" s="264" t="s">
        <v>2137</v>
      </c>
    </row>
    <row r="174" customFormat="false" ht="23.85" hidden="false" customHeight="false" outlineLevel="0" collapsed="false">
      <c r="A174" s="264" t="s">
        <v>2041</v>
      </c>
      <c r="B174" s="264" t="s">
        <v>2138</v>
      </c>
      <c r="C174" s="264" t="s">
        <v>2139</v>
      </c>
      <c r="D174" s="265" t="n">
        <v>30</v>
      </c>
      <c r="E174" s="266" t="n">
        <v>0</v>
      </c>
      <c r="F174" s="266" t="n">
        <v>0</v>
      </c>
      <c r="G174" s="266" t="n">
        <v>0</v>
      </c>
      <c r="H174" s="265" t="n">
        <v>0</v>
      </c>
      <c r="I174" s="265" t="n">
        <v>1</v>
      </c>
      <c r="J174" s="265" t="n">
        <v>2</v>
      </c>
      <c r="K174" s="267" t="s">
        <v>1641</v>
      </c>
      <c r="L174" s="265" t="n">
        <v>64</v>
      </c>
      <c r="M174" s="264" t="s">
        <v>2140</v>
      </c>
    </row>
    <row r="175" customFormat="false" ht="57.45" hidden="false" customHeight="false" outlineLevel="0" collapsed="false">
      <c r="A175" s="264" t="s">
        <v>2041</v>
      </c>
      <c r="B175" s="264" t="s">
        <v>2141</v>
      </c>
      <c r="C175" s="264" t="s">
        <v>2142</v>
      </c>
      <c r="D175" s="265" t="n">
        <v>72</v>
      </c>
      <c r="E175" s="266" t="n">
        <v>0</v>
      </c>
      <c r="F175" s="266" t="n">
        <v>0</v>
      </c>
      <c r="G175" s="266" t="n">
        <v>0</v>
      </c>
      <c r="H175" s="265" t="n">
        <v>2</v>
      </c>
      <c r="I175" s="265" t="n">
        <v>2</v>
      </c>
      <c r="J175" s="265" t="n">
        <v>1</v>
      </c>
      <c r="K175" s="267" t="s">
        <v>1641</v>
      </c>
      <c r="L175" s="265" t="n">
        <v>65</v>
      </c>
      <c r="M175" s="264" t="s">
        <v>2143</v>
      </c>
    </row>
    <row r="176" customFormat="false" ht="35.05" hidden="false" customHeight="false" outlineLevel="0" collapsed="false">
      <c r="A176" s="264" t="s">
        <v>2041</v>
      </c>
      <c r="B176" s="264" t="s">
        <v>2144</v>
      </c>
      <c r="C176" s="264" t="s">
        <v>2145</v>
      </c>
      <c r="D176" s="265" t="n">
        <v>40</v>
      </c>
      <c r="E176" s="266" t="n">
        <v>73</v>
      </c>
      <c r="F176" s="266" t="n">
        <v>40.74</v>
      </c>
      <c r="G176" s="266" t="n">
        <v>19.1</v>
      </c>
      <c r="H176" s="265" t="n">
        <v>8</v>
      </c>
      <c r="I176" s="265" t="n">
        <v>18</v>
      </c>
      <c r="J176" s="265" t="n">
        <v>4</v>
      </c>
      <c r="K176" s="267" t="s">
        <v>1641</v>
      </c>
      <c r="L176" s="265" t="n">
        <v>65</v>
      </c>
      <c r="M176" s="264" t="s">
        <v>2146</v>
      </c>
    </row>
    <row r="177" customFormat="false" ht="57.45" hidden="false" customHeight="false" outlineLevel="0" collapsed="false">
      <c r="A177" s="264" t="s">
        <v>2041</v>
      </c>
      <c r="B177" s="264" t="s">
        <v>2147</v>
      </c>
      <c r="C177" s="264" t="s">
        <v>2148</v>
      </c>
      <c r="D177" s="265" t="n">
        <v>26</v>
      </c>
      <c r="E177" s="266" t="n">
        <v>0</v>
      </c>
      <c r="F177" s="266" t="n">
        <v>0</v>
      </c>
      <c r="G177" s="266" t="n">
        <v>0</v>
      </c>
      <c r="H177" s="265" t="n">
        <v>13</v>
      </c>
      <c r="I177" s="265" t="n">
        <v>15</v>
      </c>
      <c r="J177" s="265" t="n">
        <v>1</v>
      </c>
      <c r="K177" s="267" t="s">
        <v>1641</v>
      </c>
      <c r="L177" s="265" t="n">
        <v>65</v>
      </c>
      <c r="M177" s="264"/>
    </row>
    <row r="178" customFormat="false" ht="68.65" hidden="false" customHeight="false" outlineLevel="0" collapsed="false">
      <c r="A178" s="264" t="s">
        <v>1046</v>
      </c>
      <c r="B178" s="264" t="s">
        <v>2149</v>
      </c>
      <c r="C178" s="264" t="s">
        <v>2150</v>
      </c>
      <c r="D178" s="265" t="n">
        <v>3</v>
      </c>
      <c r="E178" s="266" t="n">
        <v>0</v>
      </c>
      <c r="F178" s="266" t="n">
        <v>0</v>
      </c>
      <c r="G178" s="266" t="n">
        <v>0</v>
      </c>
      <c r="H178" s="265" t="n">
        <v>5</v>
      </c>
      <c r="I178" s="265" t="n">
        <v>5</v>
      </c>
      <c r="J178" s="265" t="n">
        <v>3</v>
      </c>
      <c r="K178" s="267" t="s">
        <v>1641</v>
      </c>
      <c r="L178" s="265" t="n">
        <v>66</v>
      </c>
      <c r="M178" s="264"/>
    </row>
    <row r="179" customFormat="false" ht="91" hidden="false" customHeight="false" outlineLevel="0" collapsed="false">
      <c r="A179" s="264" t="s">
        <v>1046</v>
      </c>
      <c r="B179" s="264" t="s">
        <v>2151</v>
      </c>
      <c r="C179" s="264" t="s">
        <v>2152</v>
      </c>
      <c r="D179" s="265" t="n">
        <v>101</v>
      </c>
      <c r="E179" s="266" t="n">
        <v>29.76</v>
      </c>
      <c r="F179" s="266" t="n">
        <v>31.1</v>
      </c>
      <c r="G179" s="266" t="n">
        <v>30.57</v>
      </c>
      <c r="H179" s="265" t="n">
        <v>55</v>
      </c>
      <c r="I179" s="265" t="n">
        <v>59</v>
      </c>
      <c r="J179" s="265" t="n">
        <v>62</v>
      </c>
      <c r="K179" s="267" t="s">
        <v>1641</v>
      </c>
      <c r="L179" s="265" t="n">
        <v>66</v>
      </c>
      <c r="M179" s="264" t="s">
        <v>2153</v>
      </c>
    </row>
    <row r="180" customFormat="false" ht="35.05" hidden="false" customHeight="false" outlineLevel="0" collapsed="false">
      <c r="A180" s="264" t="s">
        <v>1046</v>
      </c>
      <c r="B180" s="264" t="s">
        <v>2154</v>
      </c>
      <c r="C180" s="264" t="s">
        <v>2155</v>
      </c>
      <c r="D180" s="265" t="n">
        <v>11</v>
      </c>
      <c r="E180" s="266" t="n">
        <v>37</v>
      </c>
      <c r="F180" s="266" t="n">
        <v>37</v>
      </c>
      <c r="G180" s="266" t="n">
        <v>37</v>
      </c>
      <c r="H180" s="265" t="n">
        <v>11</v>
      </c>
      <c r="I180" s="265" t="n">
        <v>11</v>
      </c>
      <c r="J180" s="265" t="n">
        <v>11</v>
      </c>
      <c r="K180" s="267" t="s">
        <v>1641</v>
      </c>
      <c r="L180" s="265" t="n">
        <v>67</v>
      </c>
      <c r="M180" s="264" t="s">
        <v>2156</v>
      </c>
    </row>
    <row r="181" customFormat="false" ht="68.65" hidden="false" customHeight="false" outlineLevel="0" collapsed="false">
      <c r="A181" s="264" t="s">
        <v>1046</v>
      </c>
      <c r="B181" s="264" t="s">
        <v>2157</v>
      </c>
      <c r="C181" s="264" t="s">
        <v>2158</v>
      </c>
      <c r="D181" s="265" t="n">
        <v>4</v>
      </c>
      <c r="E181" s="266" t="n">
        <v>0</v>
      </c>
      <c r="F181" s="266" t="n">
        <v>1.05</v>
      </c>
      <c r="G181" s="266" t="n">
        <v>0</v>
      </c>
      <c r="H181" s="265" t="n">
        <v>1</v>
      </c>
      <c r="I181" s="265" t="n">
        <v>3</v>
      </c>
      <c r="J181" s="265" t="n">
        <v>0</v>
      </c>
      <c r="K181" s="267" t="s">
        <v>1641</v>
      </c>
      <c r="L181" s="265" t="n">
        <v>67</v>
      </c>
      <c r="M181" s="264" t="s">
        <v>2159</v>
      </c>
    </row>
    <row r="182" customFormat="false" ht="35.05" hidden="false" customHeight="false" outlineLevel="0" collapsed="false">
      <c r="A182" s="264" t="s">
        <v>1046</v>
      </c>
      <c r="B182" s="264" t="s">
        <v>2160</v>
      </c>
      <c r="C182" s="264" t="s">
        <v>2161</v>
      </c>
      <c r="D182" s="265" t="n">
        <v>18</v>
      </c>
      <c r="E182" s="266" t="n">
        <v>0</v>
      </c>
      <c r="F182" s="266" t="n">
        <v>0</v>
      </c>
      <c r="G182" s="266" t="n">
        <v>0</v>
      </c>
      <c r="H182" s="265" t="n">
        <v>0</v>
      </c>
      <c r="I182" s="265" t="n">
        <v>1</v>
      </c>
      <c r="J182" s="265" t="n">
        <v>1</v>
      </c>
      <c r="K182" s="267" t="s">
        <v>1641</v>
      </c>
      <c r="L182" s="265" t="n">
        <v>67</v>
      </c>
      <c r="M182" s="264"/>
    </row>
    <row r="183" customFormat="false" ht="68.65" hidden="false" customHeight="false" outlineLevel="0" collapsed="false">
      <c r="A183" s="264" t="s">
        <v>1046</v>
      </c>
      <c r="B183" s="264" t="s">
        <v>2162</v>
      </c>
      <c r="C183" s="264" t="s">
        <v>2163</v>
      </c>
      <c r="D183" s="265" t="n">
        <v>13</v>
      </c>
      <c r="E183" s="266" t="n">
        <v>1.29</v>
      </c>
      <c r="F183" s="266" t="n">
        <v>3.54</v>
      </c>
      <c r="G183" s="266" t="n">
        <v>1.87</v>
      </c>
      <c r="H183" s="265" t="n">
        <v>4</v>
      </c>
      <c r="I183" s="265" t="n">
        <v>10</v>
      </c>
      <c r="J183" s="265" t="n">
        <v>2</v>
      </c>
      <c r="K183" s="267" t="s">
        <v>1641</v>
      </c>
      <c r="L183" s="265" t="n">
        <v>68</v>
      </c>
      <c r="M183" s="264" t="s">
        <v>2164</v>
      </c>
    </row>
    <row r="184" customFormat="false" ht="57.45" hidden="false" customHeight="false" outlineLevel="0" collapsed="false">
      <c r="A184" s="264" t="s">
        <v>1046</v>
      </c>
      <c r="B184" s="264" t="s">
        <v>2165</v>
      </c>
      <c r="C184" s="264" t="s">
        <v>2166</v>
      </c>
      <c r="D184" s="265" t="n">
        <v>8</v>
      </c>
      <c r="E184" s="266" t="n">
        <v>0</v>
      </c>
      <c r="F184" s="266" t="n">
        <v>0</v>
      </c>
      <c r="G184" s="266" t="n">
        <v>0</v>
      </c>
      <c r="H184" s="265" t="n">
        <v>1</v>
      </c>
      <c r="I184" s="265" t="n">
        <v>1</v>
      </c>
      <c r="J184" s="265" t="n">
        <v>0</v>
      </c>
      <c r="K184" s="267" t="s">
        <v>1641</v>
      </c>
      <c r="L184" s="265" t="n">
        <v>68</v>
      </c>
      <c r="M184" s="264" t="s">
        <v>2167</v>
      </c>
    </row>
    <row r="185" customFormat="false" ht="68.65" hidden="false" customHeight="false" outlineLevel="0" collapsed="false">
      <c r="A185" s="264" t="s">
        <v>1046</v>
      </c>
      <c r="B185" s="264" t="s">
        <v>2168</v>
      </c>
      <c r="C185" s="264" t="s">
        <v>2169</v>
      </c>
      <c r="D185" s="265" t="n">
        <v>61</v>
      </c>
      <c r="E185" s="266" t="n">
        <v>378</v>
      </c>
      <c r="F185" s="266" t="n">
        <v>447</v>
      </c>
      <c r="G185" s="266" t="n">
        <v>485</v>
      </c>
      <c r="H185" s="265" t="n">
        <v>31</v>
      </c>
      <c r="I185" s="265" t="n">
        <v>36</v>
      </c>
      <c r="J185" s="265" t="n">
        <v>40</v>
      </c>
      <c r="K185" s="267" t="s">
        <v>1641</v>
      </c>
      <c r="L185" s="265" t="n">
        <v>68</v>
      </c>
      <c r="M185" s="264" t="s">
        <v>2170</v>
      </c>
    </row>
    <row r="186" customFormat="false" ht="23.85" hidden="false" customHeight="false" outlineLevel="0" collapsed="false">
      <c r="A186" s="264" t="s">
        <v>1046</v>
      </c>
      <c r="B186" s="264" t="s">
        <v>2171</v>
      </c>
      <c r="C186" s="264" t="s">
        <v>2172</v>
      </c>
      <c r="D186" s="265" t="n">
        <v>30</v>
      </c>
      <c r="E186" s="266" t="n">
        <v>0</v>
      </c>
      <c r="F186" s="266" t="n">
        <v>0</v>
      </c>
      <c r="G186" s="266" t="n">
        <v>0</v>
      </c>
      <c r="H186" s="265" t="n">
        <v>0</v>
      </c>
      <c r="I186" s="265" t="n">
        <v>0</v>
      </c>
      <c r="J186" s="265" t="n">
        <v>0</v>
      </c>
      <c r="K186" s="267" t="s">
        <v>1641</v>
      </c>
      <c r="L186" s="265" t="n">
        <v>69</v>
      </c>
      <c r="M186" s="264" t="s">
        <v>2173</v>
      </c>
    </row>
    <row r="187" customFormat="false" ht="46.25" hidden="false" customHeight="false" outlineLevel="0" collapsed="false">
      <c r="A187" s="264" t="s">
        <v>1046</v>
      </c>
      <c r="B187" s="264" t="s">
        <v>2174</v>
      </c>
      <c r="C187" s="264" t="s">
        <v>2175</v>
      </c>
      <c r="D187" s="265" t="n">
        <v>9</v>
      </c>
      <c r="E187" s="266" t="n">
        <v>23.3</v>
      </c>
      <c r="F187" s="266" t="n">
        <v>25.7</v>
      </c>
      <c r="G187" s="266" t="n">
        <v>24.3</v>
      </c>
      <c r="H187" s="265" t="n">
        <v>58</v>
      </c>
      <c r="I187" s="265" t="n">
        <v>62</v>
      </c>
      <c r="J187" s="265" t="n">
        <v>37</v>
      </c>
      <c r="K187" s="267" t="s">
        <v>1641</v>
      </c>
      <c r="L187" s="265" t="n">
        <v>69</v>
      </c>
      <c r="M187" s="264" t="s">
        <v>2176</v>
      </c>
    </row>
    <row r="188" customFormat="false" ht="91" hidden="false" customHeight="false" outlineLevel="0" collapsed="false">
      <c r="A188" s="264" t="s">
        <v>1047</v>
      </c>
      <c r="B188" s="264" t="s">
        <v>2177</v>
      </c>
      <c r="C188" s="264" t="s">
        <v>2178</v>
      </c>
      <c r="D188" s="265" t="n">
        <v>18</v>
      </c>
      <c r="E188" s="266" t="n">
        <v>2.1</v>
      </c>
      <c r="F188" s="266" t="n">
        <v>3.3</v>
      </c>
      <c r="G188" s="266" t="n">
        <v>2.4</v>
      </c>
      <c r="H188" s="265" t="n">
        <v>9</v>
      </c>
      <c r="I188" s="265" t="n">
        <v>9</v>
      </c>
      <c r="J188" s="265" t="n">
        <v>8</v>
      </c>
      <c r="K188" s="267" t="s">
        <v>1641</v>
      </c>
      <c r="L188" s="265" t="n">
        <v>70</v>
      </c>
      <c r="M188" s="264" t="s">
        <v>2179</v>
      </c>
    </row>
    <row r="189" customFormat="false" ht="15" hidden="false" customHeight="false" outlineLevel="0" collapsed="false">
      <c r="A189" s="264" t="s">
        <v>1047</v>
      </c>
      <c r="B189" s="264" t="s">
        <v>2180</v>
      </c>
      <c r="C189" s="264" t="s">
        <v>2181</v>
      </c>
      <c r="D189" s="265" t="n">
        <v>26</v>
      </c>
      <c r="E189" s="266" t="n">
        <v>0</v>
      </c>
      <c r="F189" s="266" t="n">
        <v>0</v>
      </c>
      <c r="G189" s="266" t="n">
        <v>0</v>
      </c>
      <c r="H189" s="265" t="n">
        <v>2</v>
      </c>
      <c r="I189" s="265" t="n">
        <v>2</v>
      </c>
      <c r="J189" s="265" t="n">
        <v>2</v>
      </c>
      <c r="K189" s="267" t="s">
        <v>1641</v>
      </c>
      <c r="L189" s="265" t="n">
        <v>70</v>
      </c>
      <c r="M189" s="264" t="s">
        <v>2182</v>
      </c>
    </row>
    <row r="190" customFormat="false" ht="68.65" hidden="false" customHeight="false" outlineLevel="0" collapsed="false">
      <c r="A190" s="264" t="s">
        <v>1047</v>
      </c>
      <c r="B190" s="264" t="s">
        <v>2183</v>
      </c>
      <c r="C190" s="264" t="s">
        <v>2184</v>
      </c>
      <c r="D190" s="265" t="n">
        <v>12</v>
      </c>
      <c r="E190" s="266" t="n">
        <v>0.55</v>
      </c>
      <c r="F190" s="266" t="n">
        <v>0.75</v>
      </c>
      <c r="G190" s="266" t="n">
        <v>2.46</v>
      </c>
      <c r="H190" s="265" t="n">
        <v>4</v>
      </c>
      <c r="I190" s="265" t="n">
        <v>4</v>
      </c>
      <c r="J190" s="265" t="n">
        <v>5</v>
      </c>
      <c r="K190" s="267" t="s">
        <v>1641</v>
      </c>
      <c r="L190" s="265" t="n">
        <v>71</v>
      </c>
      <c r="M190" s="264" t="s">
        <v>2185</v>
      </c>
    </row>
    <row r="191" customFormat="false" ht="46.25" hidden="false" customHeight="false" outlineLevel="0" collapsed="false">
      <c r="A191" s="264" t="s">
        <v>1047</v>
      </c>
      <c r="B191" s="264" t="s">
        <v>2186</v>
      </c>
      <c r="C191" s="264" t="s">
        <v>2187</v>
      </c>
      <c r="D191" s="265" t="n">
        <v>25</v>
      </c>
      <c r="E191" s="266" t="n">
        <v>15.36</v>
      </c>
      <c r="F191" s="266" t="n">
        <v>15.36</v>
      </c>
      <c r="G191" s="266" t="n">
        <v>15.36</v>
      </c>
      <c r="H191" s="265" t="n">
        <v>0</v>
      </c>
      <c r="I191" s="265" t="n">
        <v>16</v>
      </c>
      <c r="J191" s="265" t="n">
        <v>4</v>
      </c>
      <c r="K191" s="267" t="s">
        <v>1641</v>
      </c>
      <c r="L191" s="265" t="n">
        <v>71</v>
      </c>
      <c r="M191" s="264" t="s">
        <v>2188</v>
      </c>
    </row>
    <row r="192" customFormat="false" ht="68.65" hidden="false" customHeight="false" outlineLevel="0" collapsed="false">
      <c r="A192" s="264" t="s">
        <v>1047</v>
      </c>
      <c r="B192" s="264" t="s">
        <v>2189</v>
      </c>
      <c r="C192" s="264" t="s">
        <v>2190</v>
      </c>
      <c r="D192" s="265" t="n">
        <v>22</v>
      </c>
      <c r="E192" s="266" t="n">
        <v>32.1</v>
      </c>
      <c r="F192" s="266" t="n">
        <v>36.06</v>
      </c>
      <c r="G192" s="266" t="n">
        <v>60.96</v>
      </c>
      <c r="H192" s="265" t="n">
        <v>8</v>
      </c>
      <c r="I192" s="265" t="n">
        <v>7</v>
      </c>
      <c r="J192" s="265" t="n">
        <v>9</v>
      </c>
      <c r="K192" s="267" t="s">
        <v>1641</v>
      </c>
      <c r="L192" s="265" t="n">
        <v>71</v>
      </c>
      <c r="M192" s="264" t="s">
        <v>2185</v>
      </c>
    </row>
    <row r="193" customFormat="false" ht="68.65" hidden="false" customHeight="false" outlineLevel="0" collapsed="false">
      <c r="A193" s="264" t="s">
        <v>1047</v>
      </c>
      <c r="B193" s="264" t="s">
        <v>2191</v>
      </c>
      <c r="C193" s="264" t="s">
        <v>2192</v>
      </c>
      <c r="D193" s="265" t="n">
        <v>5</v>
      </c>
      <c r="E193" s="266" t="n">
        <v>0</v>
      </c>
      <c r="F193" s="266" t="n">
        <v>0</v>
      </c>
      <c r="G193" s="266" t="n">
        <v>0</v>
      </c>
      <c r="H193" s="265" t="n">
        <v>2</v>
      </c>
      <c r="I193" s="265" t="n">
        <v>1</v>
      </c>
      <c r="J193" s="265" t="n">
        <v>0</v>
      </c>
      <c r="K193" s="267" t="s">
        <v>1641</v>
      </c>
      <c r="L193" s="265" t="n">
        <v>72</v>
      </c>
      <c r="M193" s="264" t="s">
        <v>2193</v>
      </c>
    </row>
    <row r="194" customFormat="false" ht="35.05" hidden="false" customHeight="false" outlineLevel="0" collapsed="false">
      <c r="A194" s="264" t="s">
        <v>1047</v>
      </c>
      <c r="B194" s="264" t="s">
        <v>2194</v>
      </c>
      <c r="C194" s="264" t="s">
        <v>2195</v>
      </c>
      <c r="D194" s="265" t="n">
        <v>7</v>
      </c>
      <c r="E194" s="266" t="n">
        <v>0</v>
      </c>
      <c r="F194" s="266" t="n">
        <v>0</v>
      </c>
      <c r="G194" s="266" t="n">
        <v>0</v>
      </c>
      <c r="H194" s="265" t="n">
        <v>4</v>
      </c>
      <c r="I194" s="265" t="n">
        <v>2</v>
      </c>
      <c r="J194" s="265" t="n">
        <v>2</v>
      </c>
      <c r="K194" s="267" t="s">
        <v>1641</v>
      </c>
      <c r="L194" s="265" t="n">
        <v>72</v>
      </c>
      <c r="M194" s="264" t="s">
        <v>2196</v>
      </c>
    </row>
    <row r="195" customFormat="false" ht="23.85" hidden="false" customHeight="false" outlineLevel="0" collapsed="false">
      <c r="A195" s="264" t="s">
        <v>1047</v>
      </c>
      <c r="B195" s="264" t="s">
        <v>2197</v>
      </c>
      <c r="C195" s="264" t="s">
        <v>2198</v>
      </c>
      <c r="D195" s="265" t="n">
        <v>18</v>
      </c>
      <c r="E195" s="266" t="n">
        <v>0</v>
      </c>
      <c r="F195" s="266" t="n">
        <v>0</v>
      </c>
      <c r="G195" s="266" t="n">
        <v>0</v>
      </c>
      <c r="H195" s="265" t="n">
        <v>2</v>
      </c>
      <c r="I195" s="265" t="n">
        <v>3</v>
      </c>
      <c r="J195" s="265" t="n">
        <v>3</v>
      </c>
      <c r="K195" s="267" t="s">
        <v>1641</v>
      </c>
      <c r="L195" s="265" t="n">
        <v>72</v>
      </c>
      <c r="M195" s="264" t="s">
        <v>2199</v>
      </c>
    </row>
    <row r="196" customFormat="false" ht="57.45" hidden="false" customHeight="false" outlineLevel="0" collapsed="false">
      <c r="A196" s="264" t="s">
        <v>1047</v>
      </c>
      <c r="B196" s="264" t="s">
        <v>2200</v>
      </c>
      <c r="C196" s="264" t="s">
        <v>2201</v>
      </c>
      <c r="D196" s="265" t="n">
        <v>33</v>
      </c>
      <c r="E196" s="266" t="n">
        <v>206.1</v>
      </c>
      <c r="F196" s="266" t="n">
        <v>206.4</v>
      </c>
      <c r="G196" s="266" t="n">
        <v>204.5</v>
      </c>
      <c r="H196" s="265" t="n">
        <v>68</v>
      </c>
      <c r="I196" s="265" t="n">
        <v>63</v>
      </c>
      <c r="J196" s="265" t="n">
        <v>76</v>
      </c>
      <c r="K196" s="267" t="s">
        <v>1641</v>
      </c>
      <c r="L196" s="265" t="n">
        <v>72</v>
      </c>
      <c r="M196" s="264" t="s">
        <v>2202</v>
      </c>
    </row>
    <row r="197" customFormat="false" ht="23.85" hidden="false" customHeight="false" outlineLevel="0" collapsed="false">
      <c r="A197" s="264" t="s">
        <v>1047</v>
      </c>
      <c r="B197" s="264" t="s">
        <v>2203</v>
      </c>
      <c r="C197" s="264" t="s">
        <v>2204</v>
      </c>
      <c r="D197" s="265" t="n">
        <v>10</v>
      </c>
      <c r="E197" s="266" t="n">
        <v>0</v>
      </c>
      <c r="F197" s="266" t="n">
        <v>3.84</v>
      </c>
      <c r="G197" s="266" t="n">
        <v>15.36</v>
      </c>
      <c r="H197" s="265" t="n">
        <v>0</v>
      </c>
      <c r="I197" s="265" t="n">
        <v>0</v>
      </c>
      <c r="J197" s="265" t="n">
        <v>3</v>
      </c>
      <c r="K197" s="267" t="s">
        <v>1641</v>
      </c>
      <c r="L197" s="265" t="n">
        <v>72</v>
      </c>
      <c r="M197" s="264" t="s">
        <v>2205</v>
      </c>
    </row>
    <row r="198" customFormat="false" ht="68.65" hidden="false" customHeight="false" outlineLevel="0" collapsed="false">
      <c r="A198" s="264" t="s">
        <v>1047</v>
      </c>
      <c r="B198" s="264" t="s">
        <v>2206</v>
      </c>
      <c r="C198" s="264" t="s">
        <v>2207</v>
      </c>
      <c r="D198" s="265" t="n">
        <v>9</v>
      </c>
      <c r="E198" s="266" t="n">
        <v>0</v>
      </c>
      <c r="F198" s="266" t="n">
        <v>0</v>
      </c>
      <c r="G198" s="266" t="n">
        <v>0</v>
      </c>
      <c r="H198" s="265" t="n">
        <v>0</v>
      </c>
      <c r="I198" s="265" t="n">
        <v>0</v>
      </c>
      <c r="J198" s="265" t="n">
        <v>0</v>
      </c>
      <c r="K198" s="267" t="s">
        <v>1641</v>
      </c>
      <c r="L198" s="265" t="n">
        <v>73</v>
      </c>
      <c r="M198" s="264" t="s">
        <v>2208</v>
      </c>
    </row>
    <row r="199" customFormat="false" ht="35.05" hidden="false" customHeight="false" outlineLevel="0" collapsed="false">
      <c r="A199" s="264" t="s">
        <v>1047</v>
      </c>
      <c r="B199" s="264" t="s">
        <v>2209</v>
      </c>
      <c r="C199" s="264" t="s">
        <v>2210</v>
      </c>
      <c r="D199" s="265" t="n">
        <v>4</v>
      </c>
      <c r="E199" s="266" t="n">
        <v>0</v>
      </c>
      <c r="F199" s="266" t="n">
        <v>0</v>
      </c>
      <c r="G199" s="266" t="n">
        <v>0</v>
      </c>
      <c r="H199" s="265" t="n">
        <v>18</v>
      </c>
      <c r="I199" s="265" t="n">
        <v>14</v>
      </c>
      <c r="J199" s="265" t="n">
        <v>14</v>
      </c>
      <c r="K199" s="267" t="s">
        <v>1641</v>
      </c>
      <c r="L199" s="265" t="n">
        <v>73</v>
      </c>
      <c r="M199" s="264" t="s">
        <v>2199</v>
      </c>
    </row>
    <row r="200" customFormat="false" ht="23.85" hidden="false" customHeight="false" outlineLevel="0" collapsed="false">
      <c r="A200" s="264" t="s">
        <v>1047</v>
      </c>
      <c r="B200" s="264" t="s">
        <v>2211</v>
      </c>
      <c r="C200" s="264" t="s">
        <v>2212</v>
      </c>
      <c r="D200" s="265" t="n">
        <v>27</v>
      </c>
      <c r="E200" s="266" t="n">
        <v>0</v>
      </c>
      <c r="F200" s="266" t="n">
        <v>0</v>
      </c>
      <c r="G200" s="266" t="n">
        <v>0</v>
      </c>
      <c r="H200" s="265" t="n">
        <v>0</v>
      </c>
      <c r="I200" s="265" t="n">
        <v>0</v>
      </c>
      <c r="J200" s="265" t="n">
        <v>0</v>
      </c>
      <c r="K200" s="267" t="s">
        <v>1641</v>
      </c>
      <c r="L200" s="265" t="n">
        <v>73</v>
      </c>
      <c r="M200" s="264" t="s">
        <v>2213</v>
      </c>
    </row>
    <row r="201" customFormat="false" ht="113.4" hidden="false" customHeight="false" outlineLevel="0" collapsed="false">
      <c r="A201" s="264" t="s">
        <v>1047</v>
      </c>
      <c r="B201" s="264" t="s">
        <v>2214</v>
      </c>
      <c r="C201" s="264" t="s">
        <v>2215</v>
      </c>
      <c r="D201" s="265" t="n">
        <v>25</v>
      </c>
      <c r="E201" s="266" t="n">
        <v>1</v>
      </c>
      <c r="F201" s="266" t="n">
        <v>1.5</v>
      </c>
      <c r="G201" s="266" t="n">
        <v>3.5</v>
      </c>
      <c r="H201" s="265" t="n">
        <v>2</v>
      </c>
      <c r="I201" s="265" t="n">
        <v>3</v>
      </c>
      <c r="J201" s="265" t="n">
        <v>7</v>
      </c>
      <c r="K201" s="267" t="s">
        <v>1641</v>
      </c>
      <c r="L201" s="265" t="n">
        <v>74</v>
      </c>
      <c r="M201" s="264" t="s">
        <v>2216</v>
      </c>
    </row>
    <row r="202" customFormat="false" ht="46.25" hidden="false" customHeight="false" outlineLevel="0" collapsed="false">
      <c r="A202" s="264" t="s">
        <v>1047</v>
      </c>
      <c r="B202" s="264" t="s">
        <v>2217</v>
      </c>
      <c r="C202" s="264" t="s">
        <v>2218</v>
      </c>
      <c r="D202" s="265" t="n">
        <v>8</v>
      </c>
      <c r="E202" s="266" t="n">
        <v>6</v>
      </c>
      <c r="F202" s="266" t="n">
        <v>5.2</v>
      </c>
      <c r="G202" s="266" t="n">
        <v>6.1</v>
      </c>
      <c r="H202" s="265" t="n">
        <v>3</v>
      </c>
      <c r="I202" s="265" t="n">
        <v>7</v>
      </c>
      <c r="J202" s="265" t="n">
        <v>8</v>
      </c>
      <c r="K202" s="267" t="s">
        <v>1641</v>
      </c>
      <c r="L202" s="265" t="n">
        <v>74</v>
      </c>
      <c r="M202" s="264" t="s">
        <v>2219</v>
      </c>
    </row>
    <row r="203" customFormat="false" ht="68.65" hidden="false" customHeight="false" outlineLevel="0" collapsed="false">
      <c r="A203" s="264" t="s">
        <v>1047</v>
      </c>
      <c r="B203" s="264" t="s">
        <v>2220</v>
      </c>
      <c r="C203" s="264" t="s">
        <v>2221</v>
      </c>
      <c r="D203" s="265" t="n">
        <v>5</v>
      </c>
      <c r="E203" s="266" t="n">
        <v>0</v>
      </c>
      <c r="F203" s="266" t="n">
        <v>1.5</v>
      </c>
      <c r="G203" s="266" t="n">
        <v>2.07</v>
      </c>
      <c r="H203" s="265" t="n">
        <v>4</v>
      </c>
      <c r="I203" s="265" t="n">
        <v>5</v>
      </c>
      <c r="J203" s="265" t="n">
        <v>4</v>
      </c>
      <c r="K203" s="267" t="s">
        <v>1641</v>
      </c>
      <c r="L203" s="265" t="n">
        <v>75</v>
      </c>
      <c r="M203" s="264" t="s">
        <v>2222</v>
      </c>
    </row>
    <row r="204" customFormat="false" ht="23.85" hidden="false" customHeight="false" outlineLevel="0" collapsed="false">
      <c r="A204" s="264" t="s">
        <v>1047</v>
      </c>
      <c r="B204" s="264" t="s">
        <v>2223</v>
      </c>
      <c r="C204" s="264" t="s">
        <v>2224</v>
      </c>
      <c r="D204" s="265" t="n">
        <v>8</v>
      </c>
      <c r="E204" s="266" t="n">
        <v>0</v>
      </c>
      <c r="F204" s="266" t="n">
        <v>0</v>
      </c>
      <c r="G204" s="266" t="n">
        <v>0</v>
      </c>
      <c r="H204" s="265" t="n">
        <v>6</v>
      </c>
      <c r="I204" s="265" t="n">
        <v>8</v>
      </c>
      <c r="J204" s="265" t="n">
        <v>8</v>
      </c>
      <c r="K204" s="267" t="s">
        <v>1641</v>
      </c>
      <c r="L204" s="265" t="n">
        <v>75</v>
      </c>
      <c r="M204" s="264" t="s">
        <v>2199</v>
      </c>
    </row>
    <row r="205" customFormat="false" ht="35.05" hidden="false" customHeight="false" outlineLevel="0" collapsed="false">
      <c r="A205" s="264" t="s">
        <v>1047</v>
      </c>
      <c r="B205" s="264" t="s">
        <v>2225</v>
      </c>
      <c r="C205" s="264" t="s">
        <v>2226</v>
      </c>
      <c r="D205" s="265" t="n">
        <v>28</v>
      </c>
      <c r="E205" s="266" t="n">
        <v>0</v>
      </c>
      <c r="F205" s="266" t="n">
        <v>29.5</v>
      </c>
      <c r="G205" s="266" t="n">
        <v>0</v>
      </c>
      <c r="H205" s="265" t="n">
        <v>1</v>
      </c>
      <c r="I205" s="265" t="n">
        <v>1</v>
      </c>
      <c r="J205" s="265" t="n">
        <v>0</v>
      </c>
      <c r="K205" s="267" t="s">
        <v>1641</v>
      </c>
      <c r="L205" s="265" t="n">
        <v>75</v>
      </c>
      <c r="M205" s="264" t="s">
        <v>2227</v>
      </c>
    </row>
    <row r="206" customFormat="false" ht="57.45" hidden="false" customHeight="false" outlineLevel="0" collapsed="false">
      <c r="A206" s="264" t="s">
        <v>1047</v>
      </c>
      <c r="B206" s="264" t="s">
        <v>2228</v>
      </c>
      <c r="C206" s="264" t="s">
        <v>2229</v>
      </c>
      <c r="D206" s="265" t="n">
        <v>16</v>
      </c>
      <c r="E206" s="266" t="n">
        <v>0</v>
      </c>
      <c r="F206" s="266" t="n">
        <v>0.44</v>
      </c>
      <c r="G206" s="266" t="n">
        <v>0.36</v>
      </c>
      <c r="H206" s="265" t="n">
        <v>1</v>
      </c>
      <c r="I206" s="265" t="n">
        <v>2</v>
      </c>
      <c r="J206" s="265" t="n">
        <v>1</v>
      </c>
      <c r="K206" s="267" t="s">
        <v>1641</v>
      </c>
      <c r="L206" s="265" t="n">
        <v>75</v>
      </c>
      <c r="M206" s="264" t="s">
        <v>2230</v>
      </c>
    </row>
    <row r="207" customFormat="false" ht="68.65" hidden="false" customHeight="false" outlineLevel="0" collapsed="false">
      <c r="A207" s="264" t="s">
        <v>1047</v>
      </c>
      <c r="B207" s="264" t="s">
        <v>2231</v>
      </c>
      <c r="C207" s="264" t="s">
        <v>2232</v>
      </c>
      <c r="D207" s="265" t="n">
        <v>182</v>
      </c>
      <c r="E207" s="266" t="n">
        <v>5.12</v>
      </c>
      <c r="F207" s="266" t="n">
        <v>6.81</v>
      </c>
      <c r="G207" s="266" t="n">
        <v>7.46</v>
      </c>
      <c r="H207" s="265" t="n">
        <v>27</v>
      </c>
      <c r="I207" s="265" t="n">
        <v>28</v>
      </c>
      <c r="J207" s="265" t="n">
        <v>30</v>
      </c>
      <c r="K207" s="267" t="s">
        <v>1641</v>
      </c>
      <c r="L207" s="265" t="n">
        <v>76</v>
      </c>
      <c r="M207" s="264" t="s">
        <v>2233</v>
      </c>
    </row>
    <row r="208" customFormat="false" ht="57.45" hidden="false" customHeight="false" outlineLevel="0" collapsed="false">
      <c r="A208" s="264" t="s">
        <v>1047</v>
      </c>
      <c r="B208" s="264" t="s">
        <v>2234</v>
      </c>
      <c r="C208" s="264" t="s">
        <v>2235</v>
      </c>
      <c r="D208" s="265" t="n">
        <v>16</v>
      </c>
      <c r="E208" s="266" t="n">
        <v>0</v>
      </c>
      <c r="F208" s="266" t="n">
        <v>0</v>
      </c>
      <c r="G208" s="266" t="n">
        <v>0</v>
      </c>
      <c r="H208" s="265" t="n">
        <v>10</v>
      </c>
      <c r="I208" s="265" t="n">
        <v>10</v>
      </c>
      <c r="J208" s="265" t="n">
        <v>10</v>
      </c>
      <c r="K208" s="267" t="s">
        <v>1641</v>
      </c>
      <c r="L208" s="265" t="n">
        <v>76</v>
      </c>
      <c r="M208" s="264" t="s">
        <v>2236</v>
      </c>
    </row>
    <row r="209" customFormat="false" ht="15" hidden="false" customHeight="false" outlineLevel="0" collapsed="false">
      <c r="A209" s="264" t="s">
        <v>1047</v>
      </c>
      <c r="B209" s="264" t="s">
        <v>2237</v>
      </c>
      <c r="C209" s="264" t="s">
        <v>2238</v>
      </c>
      <c r="D209" s="265" t="n">
        <v>21</v>
      </c>
      <c r="E209" s="266" t="n">
        <v>10.4</v>
      </c>
      <c r="F209" s="266" t="n">
        <v>11.72</v>
      </c>
      <c r="G209" s="266" t="n">
        <v>1.12</v>
      </c>
      <c r="H209" s="265" t="n">
        <v>8</v>
      </c>
      <c r="I209" s="265" t="n">
        <v>9</v>
      </c>
      <c r="J209" s="265" t="n">
        <v>9</v>
      </c>
      <c r="K209" s="267" t="s">
        <v>1641</v>
      </c>
      <c r="L209" s="265" t="n">
        <v>76</v>
      </c>
      <c r="M209" s="264" t="s">
        <v>2239</v>
      </c>
    </row>
    <row r="210" customFormat="false" ht="23.85" hidden="false" customHeight="false" outlineLevel="0" collapsed="false">
      <c r="A210" s="264" t="s">
        <v>1047</v>
      </c>
      <c r="B210" s="264" t="s">
        <v>2240</v>
      </c>
      <c r="C210" s="264" t="s">
        <v>2241</v>
      </c>
      <c r="D210" s="265" t="n">
        <v>15</v>
      </c>
      <c r="E210" s="266" t="n">
        <v>0</v>
      </c>
      <c r="F210" s="266" t="n">
        <v>0</v>
      </c>
      <c r="G210" s="266" t="n">
        <v>0</v>
      </c>
      <c r="H210" s="265" t="n">
        <v>3</v>
      </c>
      <c r="I210" s="265" t="n">
        <v>3</v>
      </c>
      <c r="J210" s="265" t="n">
        <v>3</v>
      </c>
      <c r="K210" s="267" t="s">
        <v>1641</v>
      </c>
      <c r="L210" s="265" t="n">
        <v>77</v>
      </c>
      <c r="M210" s="264" t="s">
        <v>2199</v>
      </c>
    </row>
    <row r="211" customFormat="false" ht="68.65" hidden="false" customHeight="false" outlineLevel="0" collapsed="false">
      <c r="A211" s="264" t="s">
        <v>1047</v>
      </c>
      <c r="B211" s="264" t="s">
        <v>2242</v>
      </c>
      <c r="C211" s="264" t="s">
        <v>2243</v>
      </c>
      <c r="D211" s="265" t="n">
        <v>18</v>
      </c>
      <c r="E211" s="266" t="n">
        <v>0</v>
      </c>
      <c r="F211" s="266" t="n">
        <v>0</v>
      </c>
      <c r="G211" s="266" t="n">
        <v>0</v>
      </c>
      <c r="H211" s="265" t="n">
        <v>3</v>
      </c>
      <c r="I211" s="265" t="n">
        <v>3</v>
      </c>
      <c r="J211" s="265" t="n">
        <v>0</v>
      </c>
      <c r="K211" s="267" t="s">
        <v>1641</v>
      </c>
      <c r="L211" s="265" t="n">
        <v>77</v>
      </c>
      <c r="M211" s="264" t="s">
        <v>2199</v>
      </c>
    </row>
    <row r="212" customFormat="false" ht="68.65" hidden="false" customHeight="false" outlineLevel="0" collapsed="false">
      <c r="A212" s="264" t="s">
        <v>1047</v>
      </c>
      <c r="B212" s="264" t="s">
        <v>2244</v>
      </c>
      <c r="C212" s="264" t="s">
        <v>2245</v>
      </c>
      <c r="D212" s="265" t="n">
        <v>32</v>
      </c>
      <c r="E212" s="266" t="n">
        <v>8.4</v>
      </c>
      <c r="F212" s="266" t="n">
        <v>7.6</v>
      </c>
      <c r="G212" s="266" t="n">
        <v>15.3</v>
      </c>
      <c r="H212" s="265" t="n">
        <v>6</v>
      </c>
      <c r="I212" s="265" t="n">
        <v>8</v>
      </c>
      <c r="J212" s="265" t="n">
        <v>6</v>
      </c>
      <c r="K212" s="267" t="s">
        <v>1641</v>
      </c>
      <c r="L212" s="265" t="n">
        <v>78</v>
      </c>
      <c r="M212" s="264" t="s">
        <v>2246</v>
      </c>
    </row>
    <row r="213" customFormat="false" ht="46.25" hidden="false" customHeight="false" outlineLevel="0" collapsed="false">
      <c r="A213" s="264" t="s">
        <v>1047</v>
      </c>
      <c r="B213" s="264" t="s">
        <v>2247</v>
      </c>
      <c r="C213" s="264" t="s">
        <v>2248</v>
      </c>
      <c r="D213" s="265" t="n">
        <v>77</v>
      </c>
      <c r="E213" s="266" t="n">
        <v>9</v>
      </c>
      <c r="F213" s="266" t="n">
        <v>25</v>
      </c>
      <c r="G213" s="266" t="n">
        <v>4.5</v>
      </c>
      <c r="H213" s="265" t="n">
        <v>10</v>
      </c>
      <c r="I213" s="265" t="n">
        <v>10</v>
      </c>
      <c r="J213" s="265" t="n">
        <v>10</v>
      </c>
      <c r="K213" s="267" t="s">
        <v>1641</v>
      </c>
      <c r="L213" s="265" t="n">
        <v>78</v>
      </c>
      <c r="M213" s="264" t="s">
        <v>2249</v>
      </c>
    </row>
    <row r="214" customFormat="false" ht="46.25" hidden="false" customHeight="false" outlineLevel="0" collapsed="false">
      <c r="A214" s="264" t="s">
        <v>1047</v>
      </c>
      <c r="B214" s="264" t="s">
        <v>2250</v>
      </c>
      <c r="C214" s="264" t="s">
        <v>2251</v>
      </c>
      <c r="D214" s="265" t="n">
        <v>18</v>
      </c>
      <c r="E214" s="266" t="n">
        <v>0.6</v>
      </c>
      <c r="F214" s="266" t="n">
        <v>1.1</v>
      </c>
      <c r="G214" s="266" t="n">
        <v>2.5</v>
      </c>
      <c r="H214" s="265" t="n">
        <v>2</v>
      </c>
      <c r="I214" s="265" t="n">
        <v>2</v>
      </c>
      <c r="J214" s="265" t="n">
        <v>4</v>
      </c>
      <c r="K214" s="267" t="s">
        <v>1641</v>
      </c>
      <c r="L214" s="265" t="n">
        <v>78</v>
      </c>
      <c r="M214" s="264" t="s">
        <v>2252</v>
      </c>
    </row>
    <row r="215" customFormat="false" ht="23.85" hidden="false" customHeight="false" outlineLevel="0" collapsed="false">
      <c r="A215" s="264" t="s">
        <v>1047</v>
      </c>
      <c r="B215" s="264" t="s">
        <v>2253</v>
      </c>
      <c r="C215" s="264" t="s">
        <v>2254</v>
      </c>
      <c r="D215" s="265" t="n">
        <v>42</v>
      </c>
      <c r="E215" s="266" t="n">
        <v>0</v>
      </c>
      <c r="F215" s="266" t="n">
        <v>0</v>
      </c>
      <c r="G215" s="266" t="n">
        <v>0</v>
      </c>
      <c r="H215" s="265" t="n">
        <v>3</v>
      </c>
      <c r="I215" s="265" t="n">
        <v>1</v>
      </c>
      <c r="J215" s="265" t="n">
        <v>1</v>
      </c>
      <c r="K215" s="267" t="s">
        <v>1641</v>
      </c>
      <c r="L215" s="265" t="n">
        <v>78</v>
      </c>
      <c r="M215" s="264" t="s">
        <v>2255</v>
      </c>
    </row>
    <row r="216" customFormat="false" ht="68.65" hidden="false" customHeight="false" outlineLevel="0" collapsed="false">
      <c r="A216" s="264" t="s">
        <v>1047</v>
      </c>
      <c r="B216" s="264" t="s">
        <v>2256</v>
      </c>
      <c r="C216" s="264" t="s">
        <v>2257</v>
      </c>
      <c r="D216" s="265" t="n">
        <v>81</v>
      </c>
      <c r="E216" s="266" t="n">
        <v>4</v>
      </c>
      <c r="F216" s="266" t="n">
        <v>4</v>
      </c>
      <c r="G216" s="266" t="n">
        <v>4</v>
      </c>
      <c r="H216" s="265" t="n">
        <v>10</v>
      </c>
      <c r="I216" s="265" t="n">
        <v>21</v>
      </c>
      <c r="J216" s="265" t="n">
        <v>24</v>
      </c>
      <c r="K216" s="267" t="s">
        <v>1641</v>
      </c>
      <c r="L216" s="265" t="n">
        <v>79</v>
      </c>
      <c r="M216" s="264" t="s">
        <v>2258</v>
      </c>
    </row>
    <row r="217" customFormat="false" ht="68.65" hidden="false" customHeight="false" outlineLevel="0" collapsed="false">
      <c r="A217" s="264" t="s">
        <v>1047</v>
      </c>
      <c r="B217" s="264" t="s">
        <v>2259</v>
      </c>
      <c r="C217" s="264" t="s">
        <v>2260</v>
      </c>
      <c r="D217" s="265" t="n">
        <v>17</v>
      </c>
      <c r="E217" s="266" t="n">
        <v>0</v>
      </c>
      <c r="F217" s="266" t="n">
        <v>0</v>
      </c>
      <c r="G217" s="266" t="n">
        <v>0</v>
      </c>
      <c r="H217" s="265" t="n">
        <v>1</v>
      </c>
      <c r="I217" s="265" t="n">
        <v>0</v>
      </c>
      <c r="J217" s="265" t="n">
        <v>0</v>
      </c>
      <c r="K217" s="267" t="s">
        <v>1641</v>
      </c>
      <c r="L217" s="265" t="n">
        <v>79</v>
      </c>
      <c r="M217" s="264" t="s">
        <v>2261</v>
      </c>
    </row>
    <row r="218" customFormat="false" ht="23.85" hidden="false" customHeight="false" outlineLevel="0" collapsed="false">
      <c r="A218" s="264" t="s">
        <v>1047</v>
      </c>
      <c r="B218" s="264" t="s">
        <v>2262</v>
      </c>
      <c r="C218" s="264" t="s">
        <v>2263</v>
      </c>
      <c r="D218" s="265" t="n">
        <v>14</v>
      </c>
      <c r="E218" s="266" t="n">
        <v>0</v>
      </c>
      <c r="F218" s="266" t="n">
        <v>1.8</v>
      </c>
      <c r="G218" s="266" t="n">
        <v>1.8</v>
      </c>
      <c r="H218" s="265" t="n">
        <v>0</v>
      </c>
      <c r="I218" s="265" t="n">
        <v>1</v>
      </c>
      <c r="J218" s="265" t="n">
        <v>1</v>
      </c>
      <c r="K218" s="267" t="s">
        <v>1641</v>
      </c>
      <c r="L218" s="265" t="n">
        <v>79</v>
      </c>
      <c r="M218" s="264" t="s">
        <v>2264</v>
      </c>
    </row>
    <row r="219" customFormat="false" ht="57.45" hidden="false" customHeight="false" outlineLevel="0" collapsed="false">
      <c r="A219" s="264" t="s">
        <v>1047</v>
      </c>
      <c r="B219" s="264" t="s">
        <v>2265</v>
      </c>
      <c r="C219" s="264" t="s">
        <v>2266</v>
      </c>
      <c r="D219" s="265" t="n">
        <v>15</v>
      </c>
      <c r="E219" s="266" t="n">
        <v>0</v>
      </c>
      <c r="F219" s="266" t="n">
        <v>1.7</v>
      </c>
      <c r="G219" s="266" t="n">
        <v>0</v>
      </c>
      <c r="H219" s="265" t="n">
        <v>0</v>
      </c>
      <c r="I219" s="265" t="n">
        <v>1</v>
      </c>
      <c r="J219" s="265" t="n">
        <v>0</v>
      </c>
      <c r="K219" s="267" t="s">
        <v>1641</v>
      </c>
      <c r="L219" s="265" t="n">
        <v>80</v>
      </c>
      <c r="M219" s="264" t="s">
        <v>2267</v>
      </c>
    </row>
    <row r="220" customFormat="false" ht="79.85" hidden="false" customHeight="false" outlineLevel="0" collapsed="false">
      <c r="A220" s="264" t="s">
        <v>1047</v>
      </c>
      <c r="B220" s="264" t="s">
        <v>2268</v>
      </c>
      <c r="C220" s="264" t="s">
        <v>2269</v>
      </c>
      <c r="D220" s="265" t="n">
        <v>100</v>
      </c>
      <c r="E220" s="266" t="n">
        <v>101</v>
      </c>
      <c r="F220" s="266" t="n">
        <v>75.22</v>
      </c>
      <c r="G220" s="266" t="n">
        <v>156.91</v>
      </c>
      <c r="H220" s="265" t="n">
        <v>50</v>
      </c>
      <c r="I220" s="265" t="n">
        <v>84</v>
      </c>
      <c r="J220" s="265" t="n">
        <v>124</v>
      </c>
      <c r="K220" s="267" t="s">
        <v>1641</v>
      </c>
      <c r="L220" s="265" t="n">
        <v>80</v>
      </c>
      <c r="M220" s="264" t="s">
        <v>2270</v>
      </c>
    </row>
    <row r="221" customFormat="false" ht="35.05" hidden="false" customHeight="false" outlineLevel="0" collapsed="false">
      <c r="A221" s="264" t="s">
        <v>1047</v>
      </c>
      <c r="B221" s="264" t="s">
        <v>2271</v>
      </c>
      <c r="C221" s="264" t="s">
        <v>2272</v>
      </c>
      <c r="D221" s="265" t="n">
        <v>47</v>
      </c>
      <c r="E221" s="266" t="n">
        <v>0</v>
      </c>
      <c r="F221" s="266" t="n">
        <v>0</v>
      </c>
      <c r="G221" s="266" t="n">
        <v>0</v>
      </c>
      <c r="H221" s="265" t="n">
        <v>2</v>
      </c>
      <c r="I221" s="265" t="n">
        <v>2</v>
      </c>
      <c r="J221" s="265" t="n">
        <v>1</v>
      </c>
      <c r="K221" s="267" t="s">
        <v>1641</v>
      </c>
      <c r="L221" s="265" t="n">
        <v>80</v>
      </c>
      <c r="M221" s="264" t="s">
        <v>2273</v>
      </c>
    </row>
    <row r="222" customFormat="false" ht="68.65" hidden="false" customHeight="false" outlineLevel="0" collapsed="false">
      <c r="A222" s="264" t="s">
        <v>1047</v>
      </c>
      <c r="B222" s="264" t="s">
        <v>2274</v>
      </c>
      <c r="C222" s="264" t="s">
        <v>2275</v>
      </c>
      <c r="D222" s="265" t="n">
        <v>23</v>
      </c>
      <c r="E222" s="266" t="n">
        <v>0</v>
      </c>
      <c r="F222" s="266" t="n">
        <v>0</v>
      </c>
      <c r="G222" s="266" t="n">
        <v>0.53</v>
      </c>
      <c r="H222" s="265" t="n">
        <v>1</v>
      </c>
      <c r="I222" s="265" t="n">
        <v>3</v>
      </c>
      <c r="J222" s="265" t="n">
        <v>1</v>
      </c>
      <c r="K222" s="267" t="s">
        <v>1641</v>
      </c>
      <c r="L222" s="265" t="n">
        <v>81</v>
      </c>
      <c r="M222" s="264" t="s">
        <v>2276</v>
      </c>
    </row>
    <row r="223" customFormat="false" ht="23.85" hidden="false" customHeight="false" outlineLevel="0" collapsed="false">
      <c r="A223" s="264" t="s">
        <v>2277</v>
      </c>
      <c r="B223" s="264" t="s">
        <v>2278</v>
      </c>
      <c r="C223" s="264" t="s">
        <v>2279</v>
      </c>
      <c r="D223" s="265" t="n">
        <v>43</v>
      </c>
      <c r="E223" s="266" t="n">
        <v>734.65</v>
      </c>
      <c r="F223" s="266" t="n">
        <v>705.04</v>
      </c>
      <c r="G223" s="266" t="n">
        <v>686.83</v>
      </c>
      <c r="H223" s="265" t="n">
        <v>8</v>
      </c>
      <c r="I223" s="265" t="n">
        <v>8</v>
      </c>
      <c r="J223" s="265" t="n">
        <v>9</v>
      </c>
      <c r="K223" s="267" t="s">
        <v>1641</v>
      </c>
      <c r="L223" s="265" t="n">
        <v>82</v>
      </c>
      <c r="M223" s="264" t="s">
        <v>2280</v>
      </c>
    </row>
    <row r="224" customFormat="false" ht="35.05" hidden="false" customHeight="false" outlineLevel="0" collapsed="false">
      <c r="A224" s="264" t="s">
        <v>2277</v>
      </c>
      <c r="B224" s="264" t="s">
        <v>2281</v>
      </c>
      <c r="C224" s="264" t="s">
        <v>2282</v>
      </c>
      <c r="D224" s="265" t="n">
        <v>22</v>
      </c>
      <c r="E224" s="266" t="n">
        <v>3.54</v>
      </c>
      <c r="F224" s="266" t="n">
        <v>1.55</v>
      </c>
      <c r="G224" s="266" t="n">
        <v>0.8</v>
      </c>
      <c r="H224" s="265" t="n">
        <v>2</v>
      </c>
      <c r="I224" s="265" t="n">
        <v>2</v>
      </c>
      <c r="J224" s="265" t="n">
        <v>1</v>
      </c>
      <c r="K224" s="267" t="s">
        <v>1641</v>
      </c>
      <c r="L224" s="265" t="n">
        <v>82</v>
      </c>
      <c r="M224" s="264" t="s">
        <v>2283</v>
      </c>
    </row>
    <row r="225" customFormat="false" ht="46.25" hidden="false" customHeight="false" outlineLevel="0" collapsed="false">
      <c r="A225" s="264" t="s">
        <v>2277</v>
      </c>
      <c r="B225" s="264" t="s">
        <v>2284</v>
      </c>
      <c r="C225" s="264" t="s">
        <v>2285</v>
      </c>
      <c r="D225" s="265" t="n">
        <v>36</v>
      </c>
      <c r="E225" s="266" t="n">
        <v>5.39</v>
      </c>
      <c r="F225" s="266" t="n">
        <v>197.6</v>
      </c>
      <c r="G225" s="266" t="n">
        <v>8.05</v>
      </c>
      <c r="H225" s="265" t="n">
        <v>21</v>
      </c>
      <c r="I225" s="265" t="n">
        <v>18</v>
      </c>
      <c r="J225" s="265" t="n">
        <v>19</v>
      </c>
      <c r="K225" s="267" t="s">
        <v>1641</v>
      </c>
      <c r="L225" s="265" t="n">
        <v>82</v>
      </c>
      <c r="M225" s="264" t="s">
        <v>2286</v>
      </c>
    </row>
    <row r="226" customFormat="false" ht="35.05" hidden="false" customHeight="false" outlineLevel="0" collapsed="false">
      <c r="A226" s="264" t="s">
        <v>2277</v>
      </c>
      <c r="B226" s="264" t="s">
        <v>2287</v>
      </c>
      <c r="C226" s="264" t="s">
        <v>2288</v>
      </c>
      <c r="D226" s="265" t="n">
        <v>20</v>
      </c>
      <c r="E226" s="266" t="n">
        <v>10.2</v>
      </c>
      <c r="F226" s="266" t="n">
        <v>7.03</v>
      </c>
      <c r="G226" s="266" t="n">
        <v>7.9</v>
      </c>
      <c r="H226" s="265" t="n">
        <v>9</v>
      </c>
      <c r="I226" s="265" t="n">
        <v>7</v>
      </c>
      <c r="J226" s="265" t="n">
        <v>6</v>
      </c>
      <c r="K226" s="267" t="s">
        <v>1641</v>
      </c>
      <c r="L226" s="265" t="n">
        <v>82</v>
      </c>
      <c r="M226" s="264" t="s">
        <v>2289</v>
      </c>
    </row>
    <row r="227" customFormat="false" ht="23.85" hidden="false" customHeight="false" outlineLevel="0" collapsed="false">
      <c r="A227" s="264" t="s">
        <v>2277</v>
      </c>
      <c r="B227" s="264" t="s">
        <v>2290</v>
      </c>
      <c r="C227" s="264" t="s">
        <v>2291</v>
      </c>
      <c r="D227" s="265" t="n">
        <v>30</v>
      </c>
      <c r="E227" s="266" t="n">
        <v>1.97</v>
      </c>
      <c r="F227" s="266" t="n">
        <v>1.97</v>
      </c>
      <c r="G227" s="266" t="n">
        <v>2.62</v>
      </c>
      <c r="H227" s="265" t="n">
        <v>1</v>
      </c>
      <c r="I227" s="265" t="n">
        <v>1</v>
      </c>
      <c r="J227" s="265" t="n">
        <v>2</v>
      </c>
      <c r="K227" s="267" t="s">
        <v>1641</v>
      </c>
      <c r="L227" s="265" t="n">
        <v>82</v>
      </c>
      <c r="M227" s="264" t="s">
        <v>2292</v>
      </c>
    </row>
    <row r="228" customFormat="false" ht="35.05" hidden="false" customHeight="false" outlineLevel="0" collapsed="false">
      <c r="A228" s="264" t="s">
        <v>2277</v>
      </c>
      <c r="B228" s="264" t="s">
        <v>2293</v>
      </c>
      <c r="C228" s="264" t="s">
        <v>2294</v>
      </c>
      <c r="D228" s="265" t="n">
        <v>40</v>
      </c>
      <c r="E228" s="266" t="n">
        <v>72.62</v>
      </c>
      <c r="F228" s="266" t="n">
        <v>54.77</v>
      </c>
      <c r="G228" s="266" t="n">
        <v>134.87</v>
      </c>
      <c r="H228" s="265" t="n">
        <v>48</v>
      </c>
      <c r="I228" s="265" t="n">
        <v>38</v>
      </c>
      <c r="J228" s="265" t="n">
        <v>53</v>
      </c>
      <c r="K228" s="267" t="s">
        <v>1641</v>
      </c>
      <c r="L228" s="265" t="n">
        <v>83</v>
      </c>
      <c r="M228" s="264" t="s">
        <v>2295</v>
      </c>
    </row>
    <row r="229" customFormat="false" ht="23.85" hidden="false" customHeight="false" outlineLevel="0" collapsed="false">
      <c r="A229" s="264" t="s">
        <v>2277</v>
      </c>
      <c r="B229" s="264" t="s">
        <v>2296</v>
      </c>
      <c r="C229" s="264" t="s">
        <v>2297</v>
      </c>
      <c r="D229" s="265" t="n">
        <v>16</v>
      </c>
      <c r="E229" s="266" t="n">
        <v>350.38</v>
      </c>
      <c r="F229" s="266" t="n">
        <v>316.21</v>
      </c>
      <c r="G229" s="266" t="n">
        <v>355.88</v>
      </c>
      <c r="H229" s="265" t="n">
        <v>5</v>
      </c>
      <c r="I229" s="265" t="n">
        <v>7</v>
      </c>
      <c r="J229" s="265" t="n">
        <v>7</v>
      </c>
      <c r="K229" s="267" t="s">
        <v>1641</v>
      </c>
      <c r="L229" s="265" t="n">
        <v>83</v>
      </c>
      <c r="M229" s="264" t="s">
        <v>2298</v>
      </c>
    </row>
    <row r="230" customFormat="false" ht="35.05" hidden="false" customHeight="false" outlineLevel="0" collapsed="false">
      <c r="A230" s="264" t="s">
        <v>2277</v>
      </c>
      <c r="B230" s="264" t="s">
        <v>2299</v>
      </c>
      <c r="C230" s="264" t="s">
        <v>2300</v>
      </c>
      <c r="D230" s="265" t="n">
        <v>220</v>
      </c>
      <c r="E230" s="266" t="n">
        <v>0</v>
      </c>
      <c r="F230" s="266" t="n">
        <v>0</v>
      </c>
      <c r="G230" s="266" t="n">
        <v>0</v>
      </c>
      <c r="H230" s="265" t="n">
        <v>1</v>
      </c>
      <c r="I230" s="265" t="n">
        <v>2</v>
      </c>
      <c r="J230" s="265" t="n">
        <v>18</v>
      </c>
      <c r="K230" s="267" t="s">
        <v>1641</v>
      </c>
      <c r="L230" s="265" t="n">
        <v>83</v>
      </c>
      <c r="M230" s="264" t="s">
        <v>2301</v>
      </c>
    </row>
    <row r="231" customFormat="false" ht="35.05" hidden="false" customHeight="false" outlineLevel="0" collapsed="false">
      <c r="A231" s="264" t="s">
        <v>2277</v>
      </c>
      <c r="B231" s="264" t="s">
        <v>2302</v>
      </c>
      <c r="C231" s="264" t="s">
        <v>2303</v>
      </c>
      <c r="D231" s="265" t="n">
        <v>21</v>
      </c>
      <c r="E231" s="266" t="n">
        <v>0</v>
      </c>
      <c r="F231" s="266" t="n">
        <v>0</v>
      </c>
      <c r="G231" s="266" t="n">
        <v>0</v>
      </c>
      <c r="H231" s="265" t="n">
        <v>1</v>
      </c>
      <c r="I231" s="265" t="n">
        <v>3</v>
      </c>
      <c r="J231" s="265" t="n">
        <v>2</v>
      </c>
      <c r="K231" s="267" t="s">
        <v>1641</v>
      </c>
      <c r="L231" s="265" t="n">
        <v>83</v>
      </c>
      <c r="M231" s="264"/>
    </row>
    <row r="232" customFormat="false" ht="35.05" hidden="false" customHeight="false" outlineLevel="0" collapsed="false">
      <c r="A232" s="264" t="s">
        <v>2277</v>
      </c>
      <c r="B232" s="264" t="s">
        <v>2304</v>
      </c>
      <c r="C232" s="264" t="s">
        <v>2305</v>
      </c>
      <c r="D232" s="265" t="n">
        <v>24</v>
      </c>
      <c r="E232" s="266" t="n">
        <v>100</v>
      </c>
      <c r="F232" s="266" t="n">
        <v>100</v>
      </c>
      <c r="G232" s="266" t="n">
        <v>150</v>
      </c>
      <c r="H232" s="265" t="n">
        <v>3</v>
      </c>
      <c r="I232" s="265" t="n">
        <v>6</v>
      </c>
      <c r="J232" s="265" t="n">
        <v>7</v>
      </c>
      <c r="K232" s="267" t="s">
        <v>1641</v>
      </c>
      <c r="L232" s="265" t="n">
        <v>83</v>
      </c>
      <c r="M232" s="264" t="s">
        <v>2306</v>
      </c>
    </row>
    <row r="233" customFormat="false" ht="35.05" hidden="false" customHeight="false" outlineLevel="0" collapsed="false">
      <c r="A233" s="264" t="s">
        <v>2277</v>
      </c>
      <c r="B233" s="264" t="s">
        <v>2307</v>
      </c>
      <c r="C233" s="264" t="s">
        <v>2308</v>
      </c>
      <c r="D233" s="265" t="n">
        <v>3</v>
      </c>
      <c r="E233" s="266" t="n">
        <v>0</v>
      </c>
      <c r="F233" s="266" t="n">
        <v>0</v>
      </c>
      <c r="G233" s="266" t="n">
        <v>0</v>
      </c>
      <c r="H233" s="265" t="n">
        <v>4</v>
      </c>
      <c r="I233" s="265" t="n">
        <v>2</v>
      </c>
      <c r="J233" s="265" t="n">
        <v>4</v>
      </c>
      <c r="K233" s="267" t="s">
        <v>1641</v>
      </c>
      <c r="L233" s="265" t="n">
        <v>83</v>
      </c>
      <c r="M233" s="264" t="s">
        <v>2309</v>
      </c>
    </row>
    <row r="234" customFormat="false" ht="46.25" hidden="false" customHeight="false" outlineLevel="0" collapsed="false">
      <c r="A234" s="264" t="s">
        <v>2277</v>
      </c>
      <c r="B234" s="264" t="s">
        <v>2310</v>
      </c>
      <c r="C234" s="264" t="s">
        <v>2311</v>
      </c>
      <c r="D234" s="265" t="n">
        <v>12</v>
      </c>
      <c r="E234" s="266" t="n">
        <v>3.1</v>
      </c>
      <c r="F234" s="266" t="n">
        <v>3.6</v>
      </c>
      <c r="G234" s="266" t="n">
        <v>1.44</v>
      </c>
      <c r="H234" s="265" t="n">
        <v>8</v>
      </c>
      <c r="I234" s="265" t="n">
        <v>8</v>
      </c>
      <c r="J234" s="265" t="n">
        <v>6</v>
      </c>
      <c r="K234" s="267" t="s">
        <v>1641</v>
      </c>
      <c r="L234" s="265" t="n">
        <v>84</v>
      </c>
      <c r="M234" s="264" t="s">
        <v>2312</v>
      </c>
    </row>
    <row r="235" customFormat="false" ht="46.25" hidden="false" customHeight="false" outlineLevel="0" collapsed="false">
      <c r="A235" s="264" t="s">
        <v>2277</v>
      </c>
      <c r="B235" s="264" t="s">
        <v>2313</v>
      </c>
      <c r="C235" s="264" t="s">
        <v>2314</v>
      </c>
      <c r="D235" s="265" t="n">
        <v>22</v>
      </c>
      <c r="E235" s="266" t="n">
        <v>0</v>
      </c>
      <c r="F235" s="266" t="n">
        <v>0</v>
      </c>
      <c r="G235" s="266" t="n">
        <v>0</v>
      </c>
      <c r="H235" s="265" t="n">
        <v>2</v>
      </c>
      <c r="I235" s="265" t="n">
        <v>2</v>
      </c>
      <c r="J235" s="265" t="n">
        <v>2</v>
      </c>
      <c r="K235" s="267" t="s">
        <v>1641</v>
      </c>
      <c r="L235" s="265" t="n">
        <v>84</v>
      </c>
      <c r="M235" s="264"/>
    </row>
    <row r="236" customFormat="false" ht="57.45" hidden="false" customHeight="false" outlineLevel="0" collapsed="false">
      <c r="A236" s="264" t="s">
        <v>2277</v>
      </c>
      <c r="B236" s="264" t="s">
        <v>2315</v>
      </c>
      <c r="C236" s="264" t="s">
        <v>2316</v>
      </c>
      <c r="D236" s="265" t="n">
        <v>14</v>
      </c>
      <c r="E236" s="266" t="n">
        <v>0</v>
      </c>
      <c r="F236" s="266" t="n">
        <v>0</v>
      </c>
      <c r="G236" s="266" t="n">
        <v>0</v>
      </c>
      <c r="H236" s="265" t="n">
        <v>1</v>
      </c>
      <c r="I236" s="265" t="n">
        <v>7</v>
      </c>
      <c r="J236" s="265" t="n">
        <v>0</v>
      </c>
      <c r="K236" s="267" t="s">
        <v>1641</v>
      </c>
      <c r="L236" s="265" t="n">
        <v>84</v>
      </c>
      <c r="M236" s="264" t="s">
        <v>2317</v>
      </c>
    </row>
    <row r="237" customFormat="false" ht="46.25" hidden="false" customHeight="false" outlineLevel="0" collapsed="false">
      <c r="A237" s="264" t="s">
        <v>2277</v>
      </c>
      <c r="B237" s="264" t="s">
        <v>2318</v>
      </c>
      <c r="C237" s="264" t="s">
        <v>2319</v>
      </c>
      <c r="D237" s="265" t="n">
        <v>6</v>
      </c>
      <c r="E237" s="266" t="n">
        <v>0</v>
      </c>
      <c r="F237" s="266" t="n">
        <v>0</v>
      </c>
      <c r="G237" s="266" t="n">
        <v>0</v>
      </c>
      <c r="H237" s="265" t="n">
        <v>0</v>
      </c>
      <c r="I237" s="265" t="n">
        <v>2</v>
      </c>
      <c r="J237" s="265" t="n">
        <v>2</v>
      </c>
      <c r="K237" s="267" t="s">
        <v>1641</v>
      </c>
      <c r="L237" s="265" t="n">
        <v>85</v>
      </c>
      <c r="M237" s="264"/>
    </row>
    <row r="238" customFormat="false" ht="46.25" hidden="false" customHeight="false" outlineLevel="0" collapsed="false">
      <c r="A238" s="264" t="s">
        <v>2277</v>
      </c>
      <c r="B238" s="264" t="s">
        <v>2320</v>
      </c>
      <c r="C238" s="264" t="s">
        <v>2321</v>
      </c>
      <c r="D238" s="265" t="n">
        <v>18</v>
      </c>
      <c r="E238" s="266" t="n">
        <v>0</v>
      </c>
      <c r="F238" s="266" t="n">
        <v>1.45</v>
      </c>
      <c r="G238" s="266" t="n">
        <v>0.54</v>
      </c>
      <c r="H238" s="265" t="n">
        <v>7</v>
      </c>
      <c r="I238" s="265" t="n">
        <v>3</v>
      </c>
      <c r="J238" s="265" t="n">
        <v>1</v>
      </c>
      <c r="K238" s="267" t="s">
        <v>1641</v>
      </c>
      <c r="L238" s="265" t="n">
        <v>85</v>
      </c>
      <c r="M238" s="264" t="s">
        <v>2322</v>
      </c>
    </row>
    <row r="239" customFormat="false" ht="68.65" hidden="false" customHeight="false" outlineLevel="0" collapsed="false">
      <c r="A239" s="264" t="s">
        <v>2277</v>
      </c>
      <c r="B239" s="264" t="s">
        <v>2323</v>
      </c>
      <c r="C239" s="264" t="s">
        <v>2324</v>
      </c>
      <c r="D239" s="265" t="n">
        <v>17</v>
      </c>
      <c r="E239" s="266"/>
      <c r="F239" s="266"/>
      <c r="G239" s="266" t="n">
        <v>2.4</v>
      </c>
      <c r="H239" s="265"/>
      <c r="I239" s="265"/>
      <c r="J239" s="265" t="n">
        <v>2</v>
      </c>
      <c r="K239" s="267" t="s">
        <v>1641</v>
      </c>
      <c r="L239" s="265" t="n">
        <v>85</v>
      </c>
      <c r="M239" s="264" t="s">
        <v>2325</v>
      </c>
    </row>
    <row r="240" customFormat="false" ht="35.05" hidden="false" customHeight="false" outlineLevel="0" collapsed="false">
      <c r="A240" s="264" t="s">
        <v>2277</v>
      </c>
      <c r="B240" s="264" t="s">
        <v>2326</v>
      </c>
      <c r="C240" s="264" t="s">
        <v>2327</v>
      </c>
      <c r="D240" s="265" t="n">
        <v>10</v>
      </c>
      <c r="E240" s="266"/>
      <c r="F240" s="266"/>
      <c r="G240" s="266" t="n">
        <v>15.41</v>
      </c>
      <c r="H240" s="265"/>
      <c r="I240" s="265"/>
      <c r="J240" s="265" t="n">
        <v>3</v>
      </c>
      <c r="K240" s="267" t="s">
        <v>1641</v>
      </c>
      <c r="L240" s="265" t="n">
        <v>86</v>
      </c>
      <c r="M240" s="264" t="s">
        <v>2328</v>
      </c>
    </row>
    <row r="241" customFormat="false" ht="68.65" hidden="false" customHeight="false" outlineLevel="0" collapsed="false">
      <c r="A241" s="264" t="s">
        <v>2277</v>
      </c>
      <c r="B241" s="264" t="s">
        <v>2329</v>
      </c>
      <c r="C241" s="264" t="s">
        <v>2330</v>
      </c>
      <c r="D241" s="265" t="n">
        <v>6</v>
      </c>
      <c r="E241" s="266" t="n">
        <v>0</v>
      </c>
      <c r="F241" s="266" t="n">
        <v>0</v>
      </c>
      <c r="G241" s="266" t="n">
        <v>0</v>
      </c>
      <c r="H241" s="265" t="n">
        <v>38</v>
      </c>
      <c r="I241" s="265" t="n">
        <v>55</v>
      </c>
      <c r="J241" s="265" t="n">
        <v>44</v>
      </c>
      <c r="K241" s="267" t="s">
        <v>1641</v>
      </c>
      <c r="L241" s="265" t="n">
        <v>86</v>
      </c>
      <c r="M241" s="264" t="s">
        <v>2331</v>
      </c>
    </row>
    <row r="242" customFormat="false" ht="23.85" hidden="false" customHeight="false" outlineLevel="0" collapsed="false">
      <c r="A242" s="264" t="s">
        <v>2277</v>
      </c>
      <c r="B242" s="264" t="s">
        <v>2332</v>
      </c>
      <c r="C242" s="264" t="s">
        <v>2333</v>
      </c>
      <c r="D242" s="265" t="n">
        <v>6</v>
      </c>
      <c r="E242" s="266" t="n">
        <v>0</v>
      </c>
      <c r="F242" s="266" t="n">
        <v>0</v>
      </c>
      <c r="G242" s="266" t="n">
        <v>0</v>
      </c>
      <c r="H242" s="265" t="n">
        <v>3</v>
      </c>
      <c r="I242" s="265" t="n">
        <v>4</v>
      </c>
      <c r="J242" s="265" t="n">
        <v>5</v>
      </c>
      <c r="K242" s="267" t="s">
        <v>1641</v>
      </c>
      <c r="L242" s="265" t="n">
        <v>86</v>
      </c>
      <c r="M242" s="264"/>
    </row>
    <row r="243" customFormat="false" ht="46.25" hidden="false" customHeight="false" outlineLevel="0" collapsed="false">
      <c r="A243" s="264" t="s">
        <v>2277</v>
      </c>
      <c r="B243" s="264" t="s">
        <v>2334</v>
      </c>
      <c r="C243" s="264" t="s">
        <v>2335</v>
      </c>
      <c r="D243" s="265" t="n">
        <v>23</v>
      </c>
      <c r="E243" s="266" t="n">
        <v>19.8</v>
      </c>
      <c r="F243" s="266" t="n">
        <v>84.9</v>
      </c>
      <c r="G243" s="266" t="n">
        <v>81.9</v>
      </c>
      <c r="H243" s="265" t="n">
        <v>5</v>
      </c>
      <c r="I243" s="265" t="n">
        <v>8</v>
      </c>
      <c r="J243" s="265" t="n">
        <v>7</v>
      </c>
      <c r="K243" s="267" t="s">
        <v>1641</v>
      </c>
      <c r="L243" s="265" t="n">
        <v>86</v>
      </c>
      <c r="M243" s="264" t="s">
        <v>2336</v>
      </c>
    </row>
    <row r="244" customFormat="false" ht="79.85" hidden="false" customHeight="false" outlineLevel="0" collapsed="false">
      <c r="A244" s="264" t="s">
        <v>2277</v>
      </c>
      <c r="B244" s="264" t="s">
        <v>2337</v>
      </c>
      <c r="C244" s="264" t="s">
        <v>2338</v>
      </c>
      <c r="D244" s="265" t="n">
        <v>12</v>
      </c>
      <c r="E244" s="266" t="n">
        <v>403.09</v>
      </c>
      <c r="F244" s="266" t="n">
        <v>624.6</v>
      </c>
      <c r="G244" s="266" t="n">
        <v>554.22</v>
      </c>
      <c r="H244" s="265" t="n">
        <v>26</v>
      </c>
      <c r="I244" s="265" t="n">
        <v>26</v>
      </c>
      <c r="J244" s="265" t="n">
        <v>21</v>
      </c>
      <c r="K244" s="267" t="s">
        <v>1641</v>
      </c>
      <c r="L244" s="265" t="n">
        <v>87</v>
      </c>
      <c r="M244" s="264" t="s">
        <v>2339</v>
      </c>
    </row>
    <row r="245" customFormat="false" ht="57.45" hidden="false" customHeight="false" outlineLevel="0" collapsed="false">
      <c r="A245" s="264" t="s">
        <v>2277</v>
      </c>
      <c r="B245" s="264" t="s">
        <v>2340</v>
      </c>
      <c r="C245" s="264" t="s">
        <v>2341</v>
      </c>
      <c r="D245" s="265" t="n">
        <v>19</v>
      </c>
      <c r="E245" s="266" t="n">
        <v>0</v>
      </c>
      <c r="F245" s="266" t="n">
        <v>0</v>
      </c>
      <c r="G245" s="266" t="n">
        <v>0</v>
      </c>
      <c r="H245" s="265" t="n">
        <v>2</v>
      </c>
      <c r="I245" s="265" t="n">
        <v>3</v>
      </c>
      <c r="J245" s="265" t="n">
        <v>1</v>
      </c>
      <c r="K245" s="267" t="s">
        <v>1641</v>
      </c>
      <c r="L245" s="265" t="n">
        <v>87</v>
      </c>
      <c r="M245" s="264"/>
    </row>
    <row r="246" customFormat="false" ht="23.85" hidden="false" customHeight="false" outlineLevel="0" collapsed="false">
      <c r="A246" s="264" t="s">
        <v>2277</v>
      </c>
      <c r="B246" s="264" t="s">
        <v>2342</v>
      </c>
      <c r="C246" s="264" t="s">
        <v>2343</v>
      </c>
      <c r="D246" s="265" t="n">
        <v>16</v>
      </c>
      <c r="E246" s="266" t="n">
        <v>0.4</v>
      </c>
      <c r="F246" s="266" t="n">
        <v>0.4</v>
      </c>
      <c r="G246" s="266" t="n">
        <v>0.4</v>
      </c>
      <c r="H246" s="265" t="n">
        <v>1</v>
      </c>
      <c r="I246" s="265" t="n">
        <v>1</v>
      </c>
      <c r="J246" s="265" t="n">
        <v>1</v>
      </c>
      <c r="K246" s="267" t="s">
        <v>1641</v>
      </c>
      <c r="L246" s="265" t="n">
        <v>88</v>
      </c>
      <c r="M246" s="264"/>
    </row>
    <row r="247" customFormat="false" ht="23.85" hidden="false" customHeight="false" outlineLevel="0" collapsed="false">
      <c r="A247" s="264" t="s">
        <v>2277</v>
      </c>
      <c r="B247" s="264" t="s">
        <v>2344</v>
      </c>
      <c r="C247" s="264" t="s">
        <v>2345</v>
      </c>
      <c r="D247" s="265" t="n">
        <v>30</v>
      </c>
      <c r="E247" s="266" t="n">
        <v>1.59</v>
      </c>
      <c r="F247" s="266" t="n">
        <v>4.41</v>
      </c>
      <c r="G247" s="266" t="n">
        <v>3.2</v>
      </c>
      <c r="H247" s="265" t="n">
        <v>4</v>
      </c>
      <c r="I247" s="265" t="n">
        <v>6</v>
      </c>
      <c r="J247" s="265" t="n">
        <v>5</v>
      </c>
      <c r="K247" s="267" t="s">
        <v>1641</v>
      </c>
      <c r="L247" s="265" t="n">
        <v>88</v>
      </c>
      <c r="M247" s="264" t="s">
        <v>2346</v>
      </c>
    </row>
    <row r="248" customFormat="false" ht="23.85" hidden="false" customHeight="false" outlineLevel="0" collapsed="false">
      <c r="A248" s="264" t="s">
        <v>2277</v>
      </c>
      <c r="B248" s="264" t="s">
        <v>2347</v>
      </c>
      <c r="C248" s="264" t="s">
        <v>2348</v>
      </c>
      <c r="D248" s="265" t="n">
        <v>11</v>
      </c>
      <c r="E248" s="266" t="n">
        <v>0</v>
      </c>
      <c r="F248" s="266" t="n">
        <v>0</v>
      </c>
      <c r="G248" s="266" t="n">
        <v>0</v>
      </c>
      <c r="H248" s="265" t="n">
        <v>20</v>
      </c>
      <c r="I248" s="265" t="n">
        <v>0</v>
      </c>
      <c r="J248" s="265" t="n">
        <v>0</v>
      </c>
      <c r="K248" s="267" t="s">
        <v>1641</v>
      </c>
      <c r="L248" s="265" t="n">
        <v>88</v>
      </c>
      <c r="M248" s="264" t="s">
        <v>2349</v>
      </c>
    </row>
    <row r="249" customFormat="false" ht="23.85" hidden="false" customHeight="false" outlineLevel="0" collapsed="false">
      <c r="A249" s="264" t="s">
        <v>2277</v>
      </c>
      <c r="B249" s="264" t="s">
        <v>2350</v>
      </c>
      <c r="C249" s="264" t="s">
        <v>2351</v>
      </c>
      <c r="D249" s="265" t="n">
        <v>28</v>
      </c>
      <c r="E249" s="266" t="n">
        <v>0</v>
      </c>
      <c r="F249" s="266" t="n">
        <v>0</v>
      </c>
      <c r="G249" s="266" t="n">
        <v>0</v>
      </c>
      <c r="H249" s="265" t="n">
        <v>2</v>
      </c>
      <c r="I249" s="265" t="n">
        <v>1</v>
      </c>
      <c r="J249" s="265" t="n">
        <v>2</v>
      </c>
      <c r="K249" s="267" t="s">
        <v>1641</v>
      </c>
      <c r="L249" s="265" t="n">
        <v>88</v>
      </c>
      <c r="M249" s="264"/>
    </row>
    <row r="250" customFormat="false" ht="23.85" hidden="false" customHeight="false" outlineLevel="0" collapsed="false">
      <c r="A250" s="264" t="s">
        <v>2277</v>
      </c>
      <c r="B250" s="264" t="s">
        <v>2352</v>
      </c>
      <c r="C250" s="264" t="s">
        <v>2353</v>
      </c>
      <c r="D250" s="265" t="n">
        <v>35</v>
      </c>
      <c r="E250" s="266" t="n">
        <v>0</v>
      </c>
      <c r="F250" s="266" t="n">
        <v>0</v>
      </c>
      <c r="G250" s="266" t="n">
        <v>0</v>
      </c>
      <c r="H250" s="265" t="n">
        <v>2</v>
      </c>
      <c r="I250" s="265" t="n">
        <v>2</v>
      </c>
      <c r="J250" s="265" t="n">
        <v>2</v>
      </c>
      <c r="K250" s="267" t="s">
        <v>1641</v>
      </c>
      <c r="L250" s="265" t="n">
        <v>88</v>
      </c>
      <c r="M250" s="264"/>
    </row>
    <row r="251" customFormat="false" ht="68.65" hidden="false" customHeight="false" outlineLevel="0" collapsed="false">
      <c r="A251" s="264" t="s">
        <v>2277</v>
      </c>
      <c r="B251" s="264" t="s">
        <v>2354</v>
      </c>
      <c r="C251" s="264" t="s">
        <v>2355</v>
      </c>
      <c r="D251" s="265" t="n">
        <v>31</v>
      </c>
      <c r="E251" s="266" t="n">
        <v>0.54</v>
      </c>
      <c r="F251" s="266" t="n">
        <v>0.07</v>
      </c>
      <c r="G251" s="266" t="n">
        <v>0.09</v>
      </c>
      <c r="H251" s="265" t="n">
        <v>11</v>
      </c>
      <c r="I251" s="265" t="n">
        <v>15</v>
      </c>
      <c r="J251" s="265" t="n">
        <v>12</v>
      </c>
      <c r="K251" s="267" t="s">
        <v>1641</v>
      </c>
      <c r="L251" s="265" t="n">
        <v>88</v>
      </c>
      <c r="M251" s="264" t="s">
        <v>2356</v>
      </c>
    </row>
    <row r="252" customFormat="false" ht="23.85" hidden="false" customHeight="false" outlineLevel="0" collapsed="false">
      <c r="A252" s="264" t="s">
        <v>2277</v>
      </c>
      <c r="B252" s="264" t="s">
        <v>2357</v>
      </c>
      <c r="C252" s="264" t="s">
        <v>2358</v>
      </c>
      <c r="D252" s="265" t="n">
        <v>33</v>
      </c>
      <c r="E252" s="266" t="n">
        <v>36</v>
      </c>
      <c r="F252" s="266" t="n">
        <v>39</v>
      </c>
      <c r="G252" s="266" t="n">
        <v>62.2</v>
      </c>
      <c r="H252" s="265" t="n">
        <v>3</v>
      </c>
      <c r="I252" s="265" t="n">
        <v>2</v>
      </c>
      <c r="J252" s="265" t="n">
        <v>1</v>
      </c>
      <c r="K252" s="267" t="s">
        <v>1641</v>
      </c>
      <c r="L252" s="265" t="n">
        <v>88</v>
      </c>
      <c r="M252" s="264" t="s">
        <v>2359</v>
      </c>
    </row>
    <row r="253" customFormat="false" ht="57.45" hidden="false" customHeight="false" outlineLevel="0" collapsed="false">
      <c r="A253" s="264" t="s">
        <v>2277</v>
      </c>
      <c r="B253" s="264" t="s">
        <v>2360</v>
      </c>
      <c r="C253" s="264" t="s">
        <v>2361</v>
      </c>
      <c r="D253" s="265" t="n">
        <v>53</v>
      </c>
      <c r="E253" s="266" t="n">
        <v>52</v>
      </c>
      <c r="F253" s="266" t="n">
        <v>59</v>
      </c>
      <c r="G253" s="266" t="n">
        <v>43.6</v>
      </c>
      <c r="H253" s="265" t="n">
        <v>0</v>
      </c>
      <c r="I253" s="265" t="n">
        <v>2</v>
      </c>
      <c r="J253" s="265" t="n">
        <v>1</v>
      </c>
      <c r="K253" s="267" t="s">
        <v>1641</v>
      </c>
      <c r="L253" s="265" t="n">
        <v>89</v>
      </c>
      <c r="M253" s="264" t="s">
        <v>2362</v>
      </c>
    </row>
    <row r="254" customFormat="false" ht="113.4" hidden="false" customHeight="false" outlineLevel="0" collapsed="false">
      <c r="A254" s="264" t="s">
        <v>2363</v>
      </c>
      <c r="B254" s="264" t="s">
        <v>2364</v>
      </c>
      <c r="C254" s="264" t="s">
        <v>2365</v>
      </c>
      <c r="D254" s="265" t="n">
        <v>31</v>
      </c>
      <c r="E254" s="266" t="n">
        <v>9.62</v>
      </c>
      <c r="F254" s="266" t="n">
        <v>11</v>
      </c>
      <c r="G254" s="266" t="n">
        <v>16.6</v>
      </c>
      <c r="H254" s="265" t="n">
        <v>1</v>
      </c>
      <c r="I254" s="265" t="n">
        <v>1</v>
      </c>
      <c r="J254" s="265" t="n">
        <v>1</v>
      </c>
      <c r="K254" s="267" t="s">
        <v>1641</v>
      </c>
      <c r="L254" s="265" t="n">
        <v>90</v>
      </c>
      <c r="M254" s="264" t="s">
        <v>2366</v>
      </c>
    </row>
    <row r="255" customFormat="false" ht="23.85" hidden="false" customHeight="false" outlineLevel="0" collapsed="false">
      <c r="A255" s="264" t="s">
        <v>2363</v>
      </c>
      <c r="B255" s="264" t="s">
        <v>2367</v>
      </c>
      <c r="C255" s="264" t="s">
        <v>2368</v>
      </c>
      <c r="D255" s="265" t="n">
        <v>7</v>
      </c>
      <c r="E255" s="266" t="n">
        <v>0.15</v>
      </c>
      <c r="F255" s="266" t="n">
        <v>0</v>
      </c>
      <c r="G255" s="266" t="n">
        <v>0</v>
      </c>
      <c r="H255" s="265" t="n">
        <v>11</v>
      </c>
      <c r="I255" s="265" t="n">
        <v>11</v>
      </c>
      <c r="J255" s="265" t="n">
        <v>11</v>
      </c>
      <c r="K255" s="267" t="s">
        <v>1641</v>
      </c>
      <c r="L255" s="265" t="n">
        <v>90</v>
      </c>
      <c r="M255" s="264" t="s">
        <v>2369</v>
      </c>
    </row>
    <row r="256" customFormat="false" ht="35.05" hidden="false" customHeight="false" outlineLevel="0" collapsed="false">
      <c r="A256" s="264" t="s">
        <v>2363</v>
      </c>
      <c r="B256" s="264" t="s">
        <v>2370</v>
      </c>
      <c r="C256" s="264" t="s">
        <v>2371</v>
      </c>
      <c r="D256" s="265" t="n">
        <v>45</v>
      </c>
      <c r="E256" s="266" t="n">
        <v>1.88</v>
      </c>
      <c r="F256" s="266" t="n">
        <v>0</v>
      </c>
      <c r="G256" s="266" t="n">
        <v>0.3</v>
      </c>
      <c r="H256" s="265" t="n">
        <v>2</v>
      </c>
      <c r="I256" s="265" t="n">
        <v>1</v>
      </c>
      <c r="J256" s="265" t="n">
        <v>2</v>
      </c>
      <c r="K256" s="267" t="s">
        <v>1641</v>
      </c>
      <c r="L256" s="265" t="n">
        <v>91</v>
      </c>
      <c r="M256" s="264" t="s">
        <v>2372</v>
      </c>
    </row>
    <row r="257" customFormat="false" ht="57.45" hidden="false" customHeight="false" outlineLevel="0" collapsed="false">
      <c r="A257" s="264" t="s">
        <v>2363</v>
      </c>
      <c r="B257" s="264" t="s">
        <v>2373</v>
      </c>
      <c r="C257" s="264" t="s">
        <v>2374</v>
      </c>
      <c r="D257" s="265" t="n">
        <v>28</v>
      </c>
      <c r="E257" s="266" t="n">
        <v>11.5</v>
      </c>
      <c r="F257" s="266" t="n">
        <v>8.7</v>
      </c>
      <c r="G257" s="266" t="n">
        <v>19.4</v>
      </c>
      <c r="H257" s="265" t="n">
        <v>1</v>
      </c>
      <c r="I257" s="265" t="n">
        <v>1</v>
      </c>
      <c r="J257" s="265" t="n">
        <v>1</v>
      </c>
      <c r="K257" s="267" t="s">
        <v>1641</v>
      </c>
      <c r="L257" s="265" t="n">
        <v>91</v>
      </c>
      <c r="M257" s="264" t="s">
        <v>2375</v>
      </c>
    </row>
    <row r="258" customFormat="false" ht="35.05" hidden="false" customHeight="false" outlineLevel="0" collapsed="false">
      <c r="A258" s="264" t="s">
        <v>2363</v>
      </c>
      <c r="B258" s="264" t="s">
        <v>2376</v>
      </c>
      <c r="C258" s="264" t="s">
        <v>2377</v>
      </c>
      <c r="D258" s="265" t="n">
        <v>11</v>
      </c>
      <c r="E258" s="266" t="n">
        <v>0.75</v>
      </c>
      <c r="F258" s="266" t="n">
        <v>0.11</v>
      </c>
      <c r="G258" s="266" t="n">
        <v>0.05</v>
      </c>
      <c r="H258" s="265" t="n">
        <v>1</v>
      </c>
      <c r="I258" s="265" t="n">
        <v>1</v>
      </c>
      <c r="J258" s="265" t="n">
        <v>1</v>
      </c>
      <c r="K258" s="267" t="s">
        <v>1641</v>
      </c>
      <c r="L258" s="265" t="n">
        <v>91</v>
      </c>
      <c r="M258" s="264"/>
    </row>
    <row r="259" customFormat="false" ht="57.45" hidden="false" customHeight="false" outlineLevel="0" collapsed="false">
      <c r="A259" s="264" t="s">
        <v>2363</v>
      </c>
      <c r="B259" s="264" t="s">
        <v>2378</v>
      </c>
      <c r="C259" s="264" t="s">
        <v>2379</v>
      </c>
      <c r="D259" s="265" t="n">
        <v>67</v>
      </c>
      <c r="E259" s="266" t="n">
        <v>35.79</v>
      </c>
      <c r="F259" s="266" t="n">
        <v>39.77</v>
      </c>
      <c r="G259" s="266" t="n">
        <v>49.5</v>
      </c>
      <c r="H259" s="265" t="n">
        <v>3</v>
      </c>
      <c r="I259" s="265" t="n">
        <v>3</v>
      </c>
      <c r="J259" s="265" t="n">
        <v>2</v>
      </c>
      <c r="K259" s="267" t="s">
        <v>1641</v>
      </c>
      <c r="L259" s="265" t="n">
        <v>91</v>
      </c>
      <c r="M259" s="264" t="s">
        <v>2380</v>
      </c>
    </row>
    <row r="260" customFormat="false" ht="46.25" hidden="false" customHeight="false" outlineLevel="0" collapsed="false">
      <c r="A260" s="264" t="s">
        <v>2381</v>
      </c>
      <c r="B260" s="264" t="s">
        <v>2382</v>
      </c>
      <c r="C260" s="264" t="s">
        <v>2383</v>
      </c>
      <c r="D260" s="265" t="n">
        <v>15</v>
      </c>
      <c r="E260" s="266" t="n">
        <v>0</v>
      </c>
      <c r="F260" s="266" t="n">
        <v>0</v>
      </c>
      <c r="G260" s="266" t="n">
        <v>0</v>
      </c>
      <c r="H260" s="265" t="n">
        <v>0</v>
      </c>
      <c r="I260" s="265" t="n">
        <v>0</v>
      </c>
      <c r="J260" s="265" t="n">
        <v>0</v>
      </c>
      <c r="K260" s="267" t="s">
        <v>1641</v>
      </c>
      <c r="L260" s="265" t="n">
        <v>93</v>
      </c>
      <c r="M260" s="264" t="s">
        <v>2384</v>
      </c>
    </row>
    <row r="261" customFormat="false" ht="23.85" hidden="false" customHeight="false" outlineLevel="0" collapsed="false">
      <c r="A261" s="264" t="s">
        <v>2381</v>
      </c>
      <c r="B261" s="264" t="s">
        <v>2385</v>
      </c>
      <c r="C261" s="264" t="s">
        <v>2386</v>
      </c>
      <c r="D261" s="265" t="n">
        <v>11</v>
      </c>
      <c r="E261" s="266" t="n">
        <v>0</v>
      </c>
      <c r="F261" s="266" t="n">
        <v>1</v>
      </c>
      <c r="G261" s="266" t="n">
        <v>1</v>
      </c>
      <c r="H261" s="265" t="n">
        <v>1</v>
      </c>
      <c r="I261" s="265" t="n">
        <v>2</v>
      </c>
      <c r="J261" s="265" t="n">
        <v>2</v>
      </c>
      <c r="K261" s="267" t="s">
        <v>1641</v>
      </c>
      <c r="L261" s="265" t="n">
        <v>93</v>
      </c>
      <c r="M261" s="264"/>
    </row>
    <row r="262" customFormat="false" ht="68.65" hidden="false" customHeight="false" outlineLevel="0" collapsed="false">
      <c r="A262" s="264" t="s">
        <v>2381</v>
      </c>
      <c r="B262" s="264" t="s">
        <v>2387</v>
      </c>
      <c r="C262" s="264" t="s">
        <v>2388</v>
      </c>
      <c r="D262" s="265" t="n">
        <v>20</v>
      </c>
      <c r="E262" s="266" t="n">
        <v>12</v>
      </c>
      <c r="F262" s="266" t="n">
        <v>13.7</v>
      </c>
      <c r="G262" s="266" t="n">
        <v>2.4</v>
      </c>
      <c r="H262" s="265" t="n">
        <v>8</v>
      </c>
      <c r="I262" s="265" t="n">
        <v>8</v>
      </c>
      <c r="J262" s="265" t="n">
        <v>7</v>
      </c>
      <c r="K262" s="267" t="s">
        <v>1641</v>
      </c>
      <c r="L262" s="265" t="n">
        <v>93</v>
      </c>
      <c r="M262" s="264" t="s">
        <v>2389</v>
      </c>
    </row>
    <row r="263" customFormat="false" ht="23.85" hidden="false" customHeight="false" outlineLevel="0" collapsed="false">
      <c r="A263" s="264" t="s">
        <v>2381</v>
      </c>
      <c r="B263" s="264" t="s">
        <v>2390</v>
      </c>
      <c r="C263" s="264" t="s">
        <v>2391</v>
      </c>
      <c r="D263" s="265" t="n">
        <v>166</v>
      </c>
      <c r="E263" s="266" t="n">
        <v>10</v>
      </c>
      <c r="F263" s="266" t="n">
        <v>10</v>
      </c>
      <c r="G263" s="266" t="n">
        <v>10</v>
      </c>
      <c r="H263" s="265" t="n">
        <v>4</v>
      </c>
      <c r="I263" s="265" t="n">
        <v>7</v>
      </c>
      <c r="J263" s="265" t="n">
        <v>7</v>
      </c>
      <c r="K263" s="267" t="s">
        <v>1641</v>
      </c>
      <c r="L263" s="265" t="n">
        <v>93</v>
      </c>
      <c r="M263" s="264"/>
    </row>
    <row r="264" customFormat="false" ht="23.85" hidden="false" customHeight="false" outlineLevel="0" collapsed="false">
      <c r="A264" s="264" t="s">
        <v>2381</v>
      </c>
      <c r="B264" s="264" t="s">
        <v>2392</v>
      </c>
      <c r="C264" s="264" t="s">
        <v>2393</v>
      </c>
      <c r="D264" s="265" t="n">
        <v>146</v>
      </c>
      <c r="E264" s="266" t="n">
        <v>5</v>
      </c>
      <c r="F264" s="266" t="n">
        <v>5</v>
      </c>
      <c r="G264" s="266" t="n">
        <v>5</v>
      </c>
      <c r="H264" s="265" t="n">
        <v>6</v>
      </c>
      <c r="I264" s="265" t="n">
        <v>5</v>
      </c>
      <c r="J264" s="265" t="n">
        <v>5</v>
      </c>
      <c r="K264" s="267" t="s">
        <v>1641</v>
      </c>
      <c r="L264" s="265" t="n">
        <v>94</v>
      </c>
      <c r="M264" s="264"/>
    </row>
    <row r="265" customFormat="false" ht="68.65" hidden="false" customHeight="false" outlineLevel="0" collapsed="false">
      <c r="A265" s="264" t="s">
        <v>2381</v>
      </c>
      <c r="B265" s="264" t="s">
        <v>2394</v>
      </c>
      <c r="C265" s="264" t="s">
        <v>2395</v>
      </c>
      <c r="D265" s="265" t="n">
        <v>44</v>
      </c>
      <c r="E265" s="266" t="n">
        <v>28</v>
      </c>
      <c r="F265" s="266" t="n">
        <v>0</v>
      </c>
      <c r="G265" s="266" t="n">
        <v>0</v>
      </c>
      <c r="H265" s="265" t="n">
        <v>1</v>
      </c>
      <c r="I265" s="265" t="n">
        <v>1</v>
      </c>
      <c r="J265" s="265" t="n">
        <v>1</v>
      </c>
      <c r="K265" s="267" t="s">
        <v>1641</v>
      </c>
      <c r="L265" s="265" t="n">
        <v>94</v>
      </c>
      <c r="M265" s="264" t="s">
        <v>2396</v>
      </c>
    </row>
    <row r="266" customFormat="false" ht="57.45" hidden="false" customHeight="false" outlineLevel="0" collapsed="false">
      <c r="A266" s="264" t="s">
        <v>2381</v>
      </c>
      <c r="B266" s="264" t="s">
        <v>2397</v>
      </c>
      <c r="C266" s="264" t="s">
        <v>2398</v>
      </c>
      <c r="D266" s="265" t="n">
        <v>12</v>
      </c>
      <c r="E266" s="266" t="n">
        <v>15.4</v>
      </c>
      <c r="F266" s="266" t="n">
        <v>18.1</v>
      </c>
      <c r="G266" s="266" t="n">
        <v>8.1</v>
      </c>
      <c r="H266" s="265" t="n">
        <v>5</v>
      </c>
      <c r="I266" s="265" t="n">
        <v>3</v>
      </c>
      <c r="J266" s="265" t="n">
        <v>7</v>
      </c>
      <c r="K266" s="267" t="s">
        <v>1641</v>
      </c>
      <c r="L266" s="265" t="n">
        <v>94</v>
      </c>
      <c r="M266" s="264" t="s">
        <v>2399</v>
      </c>
    </row>
    <row r="267" customFormat="false" ht="57.45" hidden="false" customHeight="false" outlineLevel="0" collapsed="false">
      <c r="A267" s="264" t="s">
        <v>2381</v>
      </c>
      <c r="B267" s="264" t="s">
        <v>2400</v>
      </c>
      <c r="C267" s="264" t="s">
        <v>2401</v>
      </c>
      <c r="D267" s="265" t="n">
        <v>33</v>
      </c>
      <c r="E267" s="266" t="n">
        <v>0</v>
      </c>
      <c r="F267" s="266" t="n">
        <v>5.1</v>
      </c>
      <c r="G267" s="266" t="n">
        <v>1.88</v>
      </c>
      <c r="H267" s="265" t="n">
        <v>20</v>
      </c>
      <c r="I267" s="265" t="n">
        <v>22</v>
      </c>
      <c r="J267" s="265" t="n">
        <v>11</v>
      </c>
      <c r="K267" s="267" t="s">
        <v>1641</v>
      </c>
      <c r="L267" s="265" t="n">
        <v>94</v>
      </c>
      <c r="M267" s="264" t="s">
        <v>2402</v>
      </c>
    </row>
    <row r="268" customFormat="false" ht="35.05" hidden="false" customHeight="false" outlineLevel="0" collapsed="false">
      <c r="A268" s="264" t="s">
        <v>2381</v>
      </c>
      <c r="B268" s="264" t="s">
        <v>2403</v>
      </c>
      <c r="C268" s="264" t="s">
        <v>2404</v>
      </c>
      <c r="D268" s="265" t="n">
        <v>14</v>
      </c>
      <c r="E268" s="266" t="n">
        <v>17.15</v>
      </c>
      <c r="F268" s="266" t="n">
        <v>19.38</v>
      </c>
      <c r="G268" s="266" t="n">
        <v>14.59</v>
      </c>
      <c r="H268" s="265" t="n">
        <v>5</v>
      </c>
      <c r="I268" s="265" t="n">
        <v>6</v>
      </c>
      <c r="J268" s="265" t="n">
        <v>4</v>
      </c>
      <c r="K268" s="267" t="s">
        <v>1641</v>
      </c>
      <c r="L268" s="265" t="n">
        <v>95</v>
      </c>
      <c r="M268" s="264" t="s">
        <v>2405</v>
      </c>
    </row>
    <row r="269" customFormat="false" ht="46.25" hidden="false" customHeight="false" outlineLevel="0" collapsed="false">
      <c r="A269" s="264" t="s">
        <v>2381</v>
      </c>
      <c r="B269" s="264" t="s">
        <v>2406</v>
      </c>
      <c r="C269" s="264" t="s">
        <v>2407</v>
      </c>
      <c r="D269" s="265" t="n">
        <v>13</v>
      </c>
      <c r="E269" s="266" t="n">
        <v>0</v>
      </c>
      <c r="F269" s="266" t="n">
        <v>0</v>
      </c>
      <c r="G269" s="266" t="n">
        <v>0</v>
      </c>
      <c r="H269" s="265" t="n">
        <v>2</v>
      </c>
      <c r="I269" s="265" t="n">
        <v>2</v>
      </c>
      <c r="J269" s="265" t="n">
        <v>2</v>
      </c>
      <c r="K269" s="267" t="s">
        <v>1641</v>
      </c>
      <c r="L269" s="265" t="n">
        <v>95</v>
      </c>
      <c r="M269" s="264" t="s">
        <v>2408</v>
      </c>
    </row>
    <row r="270" customFormat="false" ht="57.45" hidden="false" customHeight="false" outlineLevel="0" collapsed="false">
      <c r="A270" s="264" t="s">
        <v>2381</v>
      </c>
      <c r="B270" s="264" t="s">
        <v>2409</v>
      </c>
      <c r="C270" s="264" t="s">
        <v>2410</v>
      </c>
      <c r="D270" s="265" t="n">
        <v>35</v>
      </c>
      <c r="E270" s="266" t="n">
        <v>0</v>
      </c>
      <c r="F270" s="266" t="n">
        <v>0</v>
      </c>
      <c r="G270" s="266" t="n">
        <v>0</v>
      </c>
      <c r="H270" s="265" t="n">
        <v>7</v>
      </c>
      <c r="I270" s="265" t="n">
        <v>10</v>
      </c>
      <c r="J270" s="265" t="n">
        <v>3</v>
      </c>
      <c r="K270" s="267" t="s">
        <v>1641</v>
      </c>
      <c r="L270" s="265" t="n">
        <v>95</v>
      </c>
      <c r="M270" s="264" t="s">
        <v>2411</v>
      </c>
    </row>
    <row r="271" customFormat="false" ht="68.65" hidden="false" customHeight="false" outlineLevel="0" collapsed="false">
      <c r="A271" s="264" t="s">
        <v>2381</v>
      </c>
      <c r="B271" s="264" t="s">
        <v>2412</v>
      </c>
      <c r="C271" s="264" t="s">
        <v>2413</v>
      </c>
      <c r="D271" s="265" t="n">
        <v>26</v>
      </c>
      <c r="E271" s="266" t="n">
        <v>6.8</v>
      </c>
      <c r="F271" s="266" t="n">
        <v>2.7</v>
      </c>
      <c r="G271" s="266" t="n">
        <v>2.9</v>
      </c>
      <c r="H271" s="265" t="n">
        <v>18</v>
      </c>
      <c r="I271" s="265" t="n">
        <v>15</v>
      </c>
      <c r="J271" s="265" t="n">
        <v>19</v>
      </c>
      <c r="K271" s="267" t="s">
        <v>1641</v>
      </c>
      <c r="L271" s="265" t="n">
        <v>95</v>
      </c>
      <c r="M271" s="264" t="s">
        <v>2414</v>
      </c>
    </row>
    <row r="272" customFormat="false" ht="35.05" hidden="false" customHeight="false" outlineLevel="0" collapsed="false">
      <c r="A272" s="264" t="s">
        <v>2381</v>
      </c>
      <c r="B272" s="264" t="s">
        <v>2415</v>
      </c>
      <c r="C272" s="264" t="s">
        <v>2416</v>
      </c>
      <c r="D272" s="265" t="n">
        <v>85</v>
      </c>
      <c r="E272" s="266" t="n">
        <v>22.5</v>
      </c>
      <c r="F272" s="266" t="n">
        <v>34.5</v>
      </c>
      <c r="G272" s="266" t="n">
        <v>22.5</v>
      </c>
      <c r="H272" s="265" t="n">
        <v>4</v>
      </c>
      <c r="I272" s="265" t="n">
        <v>7</v>
      </c>
      <c r="J272" s="265" t="n">
        <v>6</v>
      </c>
      <c r="K272" s="267" t="s">
        <v>1641</v>
      </c>
      <c r="L272" s="265" t="n">
        <v>96</v>
      </c>
      <c r="M272" s="264" t="s">
        <v>2417</v>
      </c>
    </row>
    <row r="273" customFormat="false" ht="23.85" hidden="false" customHeight="false" outlineLevel="0" collapsed="false">
      <c r="A273" s="264" t="s">
        <v>2381</v>
      </c>
      <c r="B273" s="264" t="s">
        <v>2418</v>
      </c>
      <c r="C273" s="264" t="s">
        <v>2419</v>
      </c>
      <c r="D273" s="265" t="n">
        <v>15</v>
      </c>
      <c r="E273" s="266" t="n">
        <v>0</v>
      </c>
      <c r="F273" s="266" t="n">
        <v>0</v>
      </c>
      <c r="G273" s="266" t="n">
        <v>5</v>
      </c>
      <c r="H273" s="265" t="n">
        <v>7</v>
      </c>
      <c r="I273" s="265" t="n">
        <v>8</v>
      </c>
      <c r="J273" s="265" t="n">
        <v>6</v>
      </c>
      <c r="K273" s="267" t="s">
        <v>1641</v>
      </c>
      <c r="L273" s="265" t="n">
        <v>96</v>
      </c>
      <c r="M273" s="264"/>
    </row>
    <row r="274" customFormat="false" ht="102.2" hidden="false" customHeight="false" outlineLevel="0" collapsed="false">
      <c r="A274" s="264" t="s">
        <v>2381</v>
      </c>
      <c r="B274" s="264" t="s">
        <v>2420</v>
      </c>
      <c r="C274" s="264" t="s">
        <v>2421</v>
      </c>
      <c r="D274" s="265" t="n">
        <v>22</v>
      </c>
      <c r="E274" s="266" t="n">
        <v>83</v>
      </c>
      <c r="F274" s="266" t="n">
        <v>104.9</v>
      </c>
      <c r="G274" s="266" t="n">
        <v>6.7</v>
      </c>
      <c r="H274" s="265" t="n">
        <v>10</v>
      </c>
      <c r="I274" s="265" t="n">
        <v>11</v>
      </c>
      <c r="J274" s="265" t="n">
        <v>8</v>
      </c>
      <c r="K274" s="267" t="s">
        <v>1641</v>
      </c>
      <c r="L274" s="265" t="n">
        <v>96</v>
      </c>
      <c r="M274" s="264" t="s">
        <v>2422</v>
      </c>
    </row>
    <row r="275" customFormat="false" ht="46.25" hidden="false" customHeight="false" outlineLevel="0" collapsed="false">
      <c r="A275" s="264" t="s">
        <v>2381</v>
      </c>
      <c r="B275" s="264" t="s">
        <v>2423</v>
      </c>
      <c r="C275" s="264" t="s">
        <v>2424</v>
      </c>
      <c r="D275" s="265" t="n">
        <v>56</v>
      </c>
      <c r="E275" s="266" t="n">
        <v>0</v>
      </c>
      <c r="F275" s="266" t="n">
        <v>0</v>
      </c>
      <c r="G275" s="266" t="n">
        <v>0</v>
      </c>
      <c r="H275" s="265" t="n">
        <v>5</v>
      </c>
      <c r="I275" s="265" t="n">
        <v>6</v>
      </c>
      <c r="J275" s="265" t="n">
        <v>5</v>
      </c>
      <c r="K275" s="267" t="s">
        <v>1641</v>
      </c>
      <c r="L275" s="265" t="n">
        <v>97</v>
      </c>
      <c r="M275" s="264" t="s">
        <v>2425</v>
      </c>
    </row>
    <row r="276" customFormat="false" ht="68.65" hidden="false" customHeight="false" outlineLevel="0" collapsed="false">
      <c r="A276" s="264" t="s">
        <v>2381</v>
      </c>
      <c r="B276" s="264" t="s">
        <v>2426</v>
      </c>
      <c r="C276" s="264" t="s">
        <v>2427</v>
      </c>
      <c r="D276" s="265" t="n">
        <v>22</v>
      </c>
      <c r="E276" s="266" t="n">
        <v>0</v>
      </c>
      <c r="F276" s="266" t="n">
        <v>3.86</v>
      </c>
      <c r="G276" s="266" t="n">
        <v>2.24</v>
      </c>
      <c r="H276" s="265" t="n">
        <v>0</v>
      </c>
      <c r="I276" s="265" t="n">
        <v>6</v>
      </c>
      <c r="J276" s="265" t="n">
        <v>5</v>
      </c>
      <c r="K276" s="267" t="s">
        <v>1641</v>
      </c>
      <c r="L276" s="265" t="n">
        <v>97</v>
      </c>
      <c r="M276" s="264"/>
    </row>
    <row r="277" customFormat="false" ht="46.25" hidden="false" customHeight="false" outlineLevel="0" collapsed="false">
      <c r="A277" s="264" t="s">
        <v>2381</v>
      </c>
      <c r="B277" s="264" t="s">
        <v>2428</v>
      </c>
      <c r="C277" s="264" t="s">
        <v>2429</v>
      </c>
      <c r="D277" s="265" t="n">
        <v>38</v>
      </c>
      <c r="E277" s="266" t="n">
        <v>0.22</v>
      </c>
      <c r="F277" s="266" t="n">
        <v>0.25</v>
      </c>
      <c r="G277" s="266" t="n">
        <v>0.81</v>
      </c>
      <c r="H277" s="265" t="n">
        <v>2</v>
      </c>
      <c r="I277" s="265" t="n">
        <v>1</v>
      </c>
      <c r="J277" s="265" t="n">
        <v>2</v>
      </c>
      <c r="K277" s="267" t="s">
        <v>1641</v>
      </c>
      <c r="L277" s="265" t="n">
        <v>97</v>
      </c>
      <c r="M277" s="264" t="s">
        <v>2430</v>
      </c>
    </row>
    <row r="278" customFormat="false" ht="23.85" hidden="false" customHeight="false" outlineLevel="0" collapsed="false">
      <c r="A278" s="264" t="s">
        <v>2381</v>
      </c>
      <c r="B278" s="264" t="s">
        <v>2431</v>
      </c>
      <c r="C278" s="264" t="s">
        <v>2432</v>
      </c>
      <c r="D278" s="265" t="n">
        <v>30</v>
      </c>
      <c r="E278" s="266" t="n">
        <v>0</v>
      </c>
      <c r="F278" s="266" t="n">
        <v>0</v>
      </c>
      <c r="G278" s="266" t="n">
        <v>0</v>
      </c>
      <c r="H278" s="265" t="n">
        <v>1</v>
      </c>
      <c r="I278" s="265" t="n">
        <v>1</v>
      </c>
      <c r="J278" s="265" t="n">
        <v>2</v>
      </c>
      <c r="K278" s="267" t="s">
        <v>1641</v>
      </c>
      <c r="L278" s="265" t="n">
        <v>97</v>
      </c>
      <c r="M278" s="264"/>
    </row>
    <row r="279" customFormat="false" ht="23.85" hidden="false" customHeight="false" outlineLevel="0" collapsed="false">
      <c r="A279" s="264" t="s">
        <v>2381</v>
      </c>
      <c r="B279" s="264" t="s">
        <v>2433</v>
      </c>
      <c r="C279" s="264" t="s">
        <v>2434</v>
      </c>
      <c r="D279" s="265" t="n">
        <v>93</v>
      </c>
      <c r="E279" s="266" t="n">
        <v>1.74</v>
      </c>
      <c r="F279" s="266" t="n">
        <v>1.13</v>
      </c>
      <c r="G279" s="266" t="n">
        <v>0.94</v>
      </c>
      <c r="H279" s="265" t="n">
        <v>4</v>
      </c>
      <c r="I279" s="265" t="n">
        <v>3</v>
      </c>
      <c r="J279" s="265" t="n">
        <v>2</v>
      </c>
      <c r="K279" s="267" t="s">
        <v>1641</v>
      </c>
      <c r="L279" s="265" t="n">
        <v>97</v>
      </c>
      <c r="M279" s="264" t="s">
        <v>2435</v>
      </c>
    </row>
    <row r="280" customFormat="false" ht="102.2" hidden="false" customHeight="false" outlineLevel="0" collapsed="false">
      <c r="A280" s="264" t="s">
        <v>2381</v>
      </c>
      <c r="B280" s="264" t="s">
        <v>2436</v>
      </c>
      <c r="C280" s="264" t="s">
        <v>2437</v>
      </c>
      <c r="D280" s="265" t="n">
        <v>49</v>
      </c>
      <c r="E280" s="266" t="n">
        <v>0.18</v>
      </c>
      <c r="F280" s="266" t="n">
        <v>0.22</v>
      </c>
      <c r="G280" s="266" t="n">
        <v>2.51</v>
      </c>
      <c r="H280" s="265" t="n">
        <v>4</v>
      </c>
      <c r="I280" s="265" t="n">
        <v>4</v>
      </c>
      <c r="J280" s="265" t="n">
        <v>3</v>
      </c>
      <c r="K280" s="267" t="s">
        <v>1641</v>
      </c>
      <c r="L280" s="265" t="n">
        <v>98</v>
      </c>
      <c r="M280" s="264" t="s">
        <v>2438</v>
      </c>
    </row>
    <row r="281" customFormat="false" ht="35.05" hidden="false" customHeight="false" outlineLevel="0" collapsed="false">
      <c r="A281" s="264" t="s">
        <v>2381</v>
      </c>
      <c r="B281" s="264" t="s">
        <v>2439</v>
      </c>
      <c r="C281" s="264" t="s">
        <v>2440</v>
      </c>
      <c r="D281" s="265" t="n">
        <v>74</v>
      </c>
      <c r="E281" s="266" t="n">
        <v>2.69</v>
      </c>
      <c r="F281" s="266" t="n">
        <v>0</v>
      </c>
      <c r="G281" s="266" t="n">
        <v>1.12</v>
      </c>
      <c r="H281" s="265" t="n">
        <v>10</v>
      </c>
      <c r="I281" s="265" t="n">
        <v>17</v>
      </c>
      <c r="J281" s="265" t="n">
        <v>12</v>
      </c>
      <c r="K281" s="267" t="s">
        <v>1641</v>
      </c>
      <c r="L281" s="265" t="n">
        <v>98</v>
      </c>
      <c r="M281" s="264" t="s">
        <v>2441</v>
      </c>
    </row>
    <row r="282" customFormat="false" ht="46.25" hidden="false" customHeight="false" outlineLevel="0" collapsed="false">
      <c r="A282" s="264" t="s">
        <v>2381</v>
      </c>
      <c r="B282" s="264" t="s">
        <v>2442</v>
      </c>
      <c r="C282" s="264" t="s">
        <v>2443</v>
      </c>
      <c r="D282" s="265" t="n">
        <v>43</v>
      </c>
      <c r="E282" s="266" t="n">
        <v>7.5</v>
      </c>
      <c r="F282" s="266" t="n">
        <v>25.7</v>
      </c>
      <c r="G282" s="266" t="n">
        <v>40.43</v>
      </c>
      <c r="H282" s="265" t="n">
        <v>56</v>
      </c>
      <c r="I282" s="265" t="n">
        <v>64</v>
      </c>
      <c r="J282" s="265" t="n">
        <v>71</v>
      </c>
      <c r="K282" s="267" t="s">
        <v>1641</v>
      </c>
      <c r="L282" s="265" t="n">
        <v>99</v>
      </c>
      <c r="M282" s="264" t="s">
        <v>2444</v>
      </c>
    </row>
    <row r="283" customFormat="false" ht="23.85" hidden="false" customHeight="false" outlineLevel="0" collapsed="false">
      <c r="A283" s="264" t="s">
        <v>2381</v>
      </c>
      <c r="B283" s="264" t="s">
        <v>2445</v>
      </c>
      <c r="C283" s="264" t="s">
        <v>2446</v>
      </c>
      <c r="D283" s="265" t="n">
        <v>29</v>
      </c>
      <c r="E283" s="266" t="n">
        <v>0</v>
      </c>
      <c r="F283" s="266" t="n">
        <v>0</v>
      </c>
      <c r="G283" s="266" t="n">
        <v>0</v>
      </c>
      <c r="H283" s="265" t="n">
        <v>3</v>
      </c>
      <c r="I283" s="265" t="n">
        <v>5</v>
      </c>
      <c r="J283" s="265" t="n">
        <v>3</v>
      </c>
      <c r="K283" s="267" t="s">
        <v>1641</v>
      </c>
      <c r="L283" s="265" t="n">
        <v>99</v>
      </c>
      <c r="M283" s="264" t="s">
        <v>2447</v>
      </c>
    </row>
    <row r="284" customFormat="false" ht="57.45" hidden="false" customHeight="false" outlineLevel="0" collapsed="false">
      <c r="A284" s="264" t="s">
        <v>2381</v>
      </c>
      <c r="B284" s="264" t="s">
        <v>2448</v>
      </c>
      <c r="C284" s="264" t="s">
        <v>2449</v>
      </c>
      <c r="D284" s="265" t="n">
        <v>52</v>
      </c>
      <c r="E284" s="266" t="n">
        <v>1.21</v>
      </c>
      <c r="F284" s="266" t="n">
        <v>2</v>
      </c>
      <c r="G284" s="266" t="n">
        <v>0</v>
      </c>
      <c r="H284" s="265" t="n">
        <v>4</v>
      </c>
      <c r="I284" s="265" t="n">
        <v>2</v>
      </c>
      <c r="J284" s="265" t="n">
        <v>1</v>
      </c>
      <c r="K284" s="267" t="s">
        <v>1641</v>
      </c>
      <c r="L284" s="265" t="n">
        <v>100</v>
      </c>
      <c r="M284" s="264" t="s">
        <v>2450</v>
      </c>
    </row>
    <row r="285" customFormat="false" ht="79.85" hidden="false" customHeight="false" outlineLevel="0" collapsed="false">
      <c r="A285" s="264" t="s">
        <v>2381</v>
      </c>
      <c r="B285" s="264" t="s">
        <v>2451</v>
      </c>
      <c r="C285" s="264" t="s">
        <v>2452</v>
      </c>
      <c r="D285" s="265" t="n">
        <v>30</v>
      </c>
      <c r="E285" s="266" t="n">
        <v>107</v>
      </c>
      <c r="F285" s="266" t="n">
        <v>105</v>
      </c>
      <c r="G285" s="266" t="n">
        <v>110</v>
      </c>
      <c r="H285" s="265" t="n">
        <v>12</v>
      </c>
      <c r="I285" s="265" t="n">
        <v>11</v>
      </c>
      <c r="J285" s="265" t="n">
        <v>11</v>
      </c>
      <c r="K285" s="267" t="s">
        <v>1641</v>
      </c>
      <c r="L285" s="265" t="n">
        <v>100</v>
      </c>
      <c r="M285" s="264" t="s">
        <v>2453</v>
      </c>
    </row>
    <row r="286" customFormat="false" ht="57.45" hidden="false" customHeight="false" outlineLevel="0" collapsed="false">
      <c r="A286" s="264" t="s">
        <v>2381</v>
      </c>
      <c r="B286" s="264" t="s">
        <v>2454</v>
      </c>
      <c r="C286" s="264" t="s">
        <v>2455</v>
      </c>
      <c r="D286" s="265" t="n">
        <v>16</v>
      </c>
      <c r="E286" s="266" t="n">
        <v>0</v>
      </c>
      <c r="F286" s="266" t="n">
        <v>0</v>
      </c>
      <c r="G286" s="266" t="n">
        <v>0</v>
      </c>
      <c r="H286" s="265" t="n">
        <v>8</v>
      </c>
      <c r="I286" s="265" t="n">
        <v>8</v>
      </c>
      <c r="J286" s="265" t="n">
        <v>5</v>
      </c>
      <c r="K286" s="267" t="s">
        <v>1641</v>
      </c>
      <c r="L286" s="265" t="n">
        <v>100</v>
      </c>
      <c r="M286" s="264" t="s">
        <v>2456</v>
      </c>
    </row>
    <row r="287" customFormat="false" ht="46.25" hidden="false" customHeight="false" outlineLevel="0" collapsed="false">
      <c r="A287" s="264" t="s">
        <v>2381</v>
      </c>
      <c r="B287" s="264" t="s">
        <v>2457</v>
      </c>
      <c r="C287" s="264" t="s">
        <v>2458</v>
      </c>
      <c r="D287" s="265" t="n">
        <v>58</v>
      </c>
      <c r="E287" s="266" t="n">
        <v>6.5</v>
      </c>
      <c r="F287" s="266" t="n">
        <v>7</v>
      </c>
      <c r="G287" s="266" t="n">
        <v>7</v>
      </c>
      <c r="H287" s="265" t="n">
        <v>4</v>
      </c>
      <c r="I287" s="265" t="n">
        <v>7</v>
      </c>
      <c r="J287" s="265" t="n">
        <v>3</v>
      </c>
      <c r="K287" s="267" t="s">
        <v>1641</v>
      </c>
      <c r="L287" s="265" t="n">
        <v>101</v>
      </c>
      <c r="M287" s="264" t="s">
        <v>2459</v>
      </c>
    </row>
    <row r="288" customFormat="false" ht="68.65" hidden="false" customHeight="false" outlineLevel="0" collapsed="false">
      <c r="A288" s="264" t="s">
        <v>2381</v>
      </c>
      <c r="B288" s="264" t="s">
        <v>2460</v>
      </c>
      <c r="C288" s="264" t="s">
        <v>2461</v>
      </c>
      <c r="D288" s="265" t="n">
        <v>48</v>
      </c>
      <c r="E288" s="266" t="n">
        <v>3.5</v>
      </c>
      <c r="F288" s="266" t="n">
        <v>4.9</v>
      </c>
      <c r="G288" s="266" t="n">
        <v>14.8</v>
      </c>
      <c r="H288" s="265" t="n">
        <v>25</v>
      </c>
      <c r="I288" s="265" t="n">
        <v>24</v>
      </c>
      <c r="J288" s="265" t="n">
        <v>26</v>
      </c>
      <c r="K288" s="267" t="s">
        <v>1641</v>
      </c>
      <c r="L288" s="265" t="n">
        <v>101</v>
      </c>
      <c r="M288" s="264" t="s">
        <v>2462</v>
      </c>
    </row>
    <row r="289" customFormat="false" ht="23.85" hidden="false" customHeight="false" outlineLevel="0" collapsed="false">
      <c r="A289" s="264" t="s">
        <v>2381</v>
      </c>
      <c r="B289" s="264" t="s">
        <v>2463</v>
      </c>
      <c r="C289" s="264" t="s">
        <v>2464</v>
      </c>
      <c r="D289" s="265" t="n">
        <v>28</v>
      </c>
      <c r="E289" s="266" t="n">
        <v>0</v>
      </c>
      <c r="F289" s="266" t="n">
        <v>0</v>
      </c>
      <c r="G289" s="266" t="n">
        <v>0</v>
      </c>
      <c r="H289" s="265" t="n">
        <v>0</v>
      </c>
      <c r="I289" s="265" t="n">
        <v>0</v>
      </c>
      <c r="J289" s="265" t="n">
        <v>0</v>
      </c>
      <c r="K289" s="267" t="s">
        <v>1641</v>
      </c>
      <c r="L289" s="265" t="n">
        <v>101</v>
      </c>
      <c r="M289" s="264" t="s">
        <v>2465</v>
      </c>
    </row>
    <row r="290" customFormat="false" ht="46.25" hidden="false" customHeight="false" outlineLevel="0" collapsed="false">
      <c r="A290" s="264" t="s">
        <v>2381</v>
      </c>
      <c r="B290" s="264" t="s">
        <v>2466</v>
      </c>
      <c r="C290" s="264" t="s">
        <v>2467</v>
      </c>
      <c r="D290" s="265" t="n">
        <v>40</v>
      </c>
      <c r="E290" s="266" t="n">
        <v>0</v>
      </c>
      <c r="F290" s="266" t="n">
        <v>0</v>
      </c>
      <c r="G290" s="266" t="n">
        <v>0</v>
      </c>
      <c r="H290" s="265" t="n">
        <v>10</v>
      </c>
      <c r="I290" s="265" t="n">
        <v>10</v>
      </c>
      <c r="J290" s="265" t="n">
        <v>9</v>
      </c>
      <c r="K290" s="267" t="s">
        <v>1641</v>
      </c>
      <c r="L290" s="265" t="n">
        <v>101</v>
      </c>
      <c r="M290" s="264"/>
    </row>
    <row r="291" customFormat="false" ht="23.85" hidden="false" customHeight="false" outlineLevel="0" collapsed="false">
      <c r="A291" s="264" t="s">
        <v>2381</v>
      </c>
      <c r="B291" s="264" t="s">
        <v>2468</v>
      </c>
      <c r="C291" s="264" t="s">
        <v>2469</v>
      </c>
      <c r="D291" s="265" t="n">
        <v>46</v>
      </c>
      <c r="E291" s="266" t="n">
        <v>13.4</v>
      </c>
      <c r="F291" s="266" t="n">
        <v>15.1</v>
      </c>
      <c r="G291" s="266" t="n">
        <v>15.46</v>
      </c>
      <c r="H291" s="265" t="n">
        <v>8</v>
      </c>
      <c r="I291" s="265" t="n">
        <v>6</v>
      </c>
      <c r="J291" s="265" t="n">
        <v>6</v>
      </c>
      <c r="K291" s="267" t="s">
        <v>1641</v>
      </c>
      <c r="L291" s="265" t="n">
        <v>101</v>
      </c>
      <c r="M291" s="264" t="s">
        <v>2470</v>
      </c>
    </row>
    <row r="292" customFormat="false" ht="57.45" hidden="false" customHeight="false" outlineLevel="0" collapsed="false">
      <c r="A292" s="264" t="s">
        <v>2381</v>
      </c>
      <c r="B292" s="264" t="s">
        <v>2471</v>
      </c>
      <c r="C292" s="264" t="s">
        <v>2472</v>
      </c>
      <c r="D292" s="265" t="n">
        <v>60</v>
      </c>
      <c r="E292" s="266" t="n">
        <v>0.26</v>
      </c>
      <c r="F292" s="266" t="n">
        <v>0.39</v>
      </c>
      <c r="G292" s="266" t="n">
        <v>1.15</v>
      </c>
      <c r="H292" s="265" t="n">
        <v>2</v>
      </c>
      <c r="I292" s="265" t="n">
        <v>3</v>
      </c>
      <c r="J292" s="265" t="n">
        <v>2</v>
      </c>
      <c r="K292" s="267" t="s">
        <v>1641</v>
      </c>
      <c r="L292" s="265" t="n">
        <v>102</v>
      </c>
      <c r="M292" s="264" t="s">
        <v>2473</v>
      </c>
    </row>
    <row r="293" customFormat="false" ht="23.85" hidden="false" customHeight="false" outlineLevel="0" collapsed="false">
      <c r="A293" s="264" t="s">
        <v>2381</v>
      </c>
      <c r="B293" s="264" t="s">
        <v>2474</v>
      </c>
      <c r="C293" s="264" t="s">
        <v>2475</v>
      </c>
      <c r="D293" s="265" t="n">
        <v>8</v>
      </c>
      <c r="E293" s="266" t="n">
        <v>0</v>
      </c>
      <c r="F293" s="266" t="n">
        <v>0</v>
      </c>
      <c r="G293" s="266" t="n">
        <v>0</v>
      </c>
      <c r="H293" s="265" t="n">
        <v>1</v>
      </c>
      <c r="I293" s="265" t="n">
        <v>1</v>
      </c>
      <c r="J293" s="265" t="n">
        <v>1</v>
      </c>
      <c r="K293" s="267" t="s">
        <v>1641</v>
      </c>
      <c r="L293" s="265" t="n">
        <v>102</v>
      </c>
      <c r="M293" s="264"/>
    </row>
    <row r="294" customFormat="false" ht="68.65" hidden="false" customHeight="false" outlineLevel="0" collapsed="false">
      <c r="A294" s="264" t="s">
        <v>2476</v>
      </c>
      <c r="B294" s="264" t="s">
        <v>2477</v>
      </c>
      <c r="C294" s="264" t="s">
        <v>2478</v>
      </c>
      <c r="D294" s="265" t="n">
        <v>78</v>
      </c>
      <c r="E294" s="266" t="n">
        <v>0</v>
      </c>
      <c r="F294" s="266" t="n">
        <v>1</v>
      </c>
      <c r="G294" s="266" t="n">
        <v>0.4</v>
      </c>
      <c r="H294" s="265" t="n">
        <v>0</v>
      </c>
      <c r="I294" s="265" t="n">
        <v>2</v>
      </c>
      <c r="J294" s="265" t="n">
        <v>1</v>
      </c>
      <c r="K294" s="267" t="s">
        <v>1641</v>
      </c>
      <c r="L294" s="265" t="n">
        <v>103</v>
      </c>
      <c r="M294" s="264" t="s">
        <v>2479</v>
      </c>
    </row>
    <row r="295" customFormat="false" ht="57.45" hidden="false" customHeight="false" outlineLevel="0" collapsed="false">
      <c r="A295" s="264" t="s">
        <v>2476</v>
      </c>
      <c r="B295" s="264" t="s">
        <v>2480</v>
      </c>
      <c r="C295" s="264" t="s">
        <v>2481</v>
      </c>
      <c r="D295" s="265" t="n">
        <v>19</v>
      </c>
      <c r="E295" s="266" t="n">
        <v>0</v>
      </c>
      <c r="F295" s="266" t="n">
        <v>0</v>
      </c>
      <c r="G295" s="266" t="n">
        <v>0</v>
      </c>
      <c r="H295" s="265" t="n">
        <v>6</v>
      </c>
      <c r="I295" s="265" t="n">
        <v>6</v>
      </c>
      <c r="J295" s="265" t="n">
        <v>6</v>
      </c>
      <c r="K295" s="267" t="s">
        <v>1641</v>
      </c>
      <c r="L295" s="265" t="n">
        <v>103</v>
      </c>
      <c r="M295" s="264"/>
    </row>
    <row r="296" customFormat="false" ht="46.25" hidden="false" customHeight="false" outlineLevel="0" collapsed="false">
      <c r="A296" s="264" t="s">
        <v>2476</v>
      </c>
      <c r="B296" s="264" t="s">
        <v>2482</v>
      </c>
      <c r="C296" s="264" t="s">
        <v>2483</v>
      </c>
      <c r="D296" s="265" t="n">
        <v>13</v>
      </c>
      <c r="E296" s="266" t="n">
        <v>0</v>
      </c>
      <c r="F296" s="266" t="n">
        <v>0</v>
      </c>
      <c r="G296" s="266" t="n">
        <v>0</v>
      </c>
      <c r="H296" s="265" t="n">
        <v>0</v>
      </c>
      <c r="I296" s="265" t="n">
        <v>0</v>
      </c>
      <c r="J296" s="265" t="n">
        <v>0</v>
      </c>
      <c r="K296" s="267" t="s">
        <v>1641</v>
      </c>
      <c r="L296" s="265" t="n">
        <v>103</v>
      </c>
      <c r="M296" s="264"/>
    </row>
    <row r="297" customFormat="false" ht="35.05" hidden="false" customHeight="false" outlineLevel="0" collapsed="false">
      <c r="A297" s="264" t="s">
        <v>2476</v>
      </c>
      <c r="B297" s="264" t="s">
        <v>2484</v>
      </c>
      <c r="C297" s="264" t="s">
        <v>2485</v>
      </c>
      <c r="D297" s="265" t="n">
        <v>46</v>
      </c>
      <c r="E297" s="266" t="n">
        <v>0</v>
      </c>
      <c r="F297" s="266" t="n">
        <v>0</v>
      </c>
      <c r="G297" s="266" t="n">
        <v>0</v>
      </c>
      <c r="H297" s="265" t="n">
        <v>0</v>
      </c>
      <c r="I297" s="265" t="n">
        <v>2</v>
      </c>
      <c r="J297" s="265" t="n">
        <v>2</v>
      </c>
      <c r="K297" s="267" t="s">
        <v>1641</v>
      </c>
      <c r="L297" s="265" t="n">
        <v>104</v>
      </c>
      <c r="M297" s="264" t="s">
        <v>2486</v>
      </c>
    </row>
    <row r="298" customFormat="false" ht="23.85" hidden="false" customHeight="false" outlineLevel="0" collapsed="false">
      <c r="A298" s="264" t="s">
        <v>2476</v>
      </c>
      <c r="B298" s="264" t="s">
        <v>2487</v>
      </c>
      <c r="C298" s="264" t="s">
        <v>2488</v>
      </c>
      <c r="D298" s="265" t="n">
        <v>70</v>
      </c>
      <c r="E298" s="266" t="n">
        <v>0</v>
      </c>
      <c r="F298" s="266" t="n">
        <v>0</v>
      </c>
      <c r="G298" s="266" t="n">
        <v>0</v>
      </c>
      <c r="H298" s="265" t="n">
        <v>50</v>
      </c>
      <c r="I298" s="265" t="n">
        <v>50</v>
      </c>
      <c r="J298" s="265" t="n">
        <v>50</v>
      </c>
      <c r="K298" s="267" t="s">
        <v>1641</v>
      </c>
      <c r="L298" s="265" t="n">
        <v>104</v>
      </c>
      <c r="M298" s="264"/>
    </row>
    <row r="299" customFormat="false" ht="23.85" hidden="false" customHeight="false" outlineLevel="0" collapsed="false">
      <c r="A299" s="264" t="s">
        <v>2476</v>
      </c>
      <c r="B299" s="264" t="s">
        <v>2489</v>
      </c>
      <c r="C299" s="264" t="s">
        <v>2490</v>
      </c>
      <c r="D299" s="265" t="n">
        <v>22</v>
      </c>
      <c r="E299" s="266" t="n">
        <v>0</v>
      </c>
      <c r="F299" s="266" t="n">
        <v>0</v>
      </c>
      <c r="G299" s="266" t="n">
        <v>0</v>
      </c>
      <c r="H299" s="265" t="n">
        <v>2</v>
      </c>
      <c r="I299" s="265" t="n">
        <v>2</v>
      </c>
      <c r="J299" s="265" t="n">
        <v>2</v>
      </c>
      <c r="K299" s="267" t="s">
        <v>1641</v>
      </c>
      <c r="L299" s="265" t="n">
        <v>104</v>
      </c>
      <c r="M299" s="264"/>
    </row>
    <row r="300" customFormat="false" ht="68.65" hidden="false" customHeight="false" outlineLevel="0" collapsed="false">
      <c r="A300" s="264" t="s">
        <v>2476</v>
      </c>
      <c r="B300" s="264" t="s">
        <v>2491</v>
      </c>
      <c r="C300" s="264" t="s">
        <v>2492</v>
      </c>
      <c r="D300" s="265" t="n">
        <v>21</v>
      </c>
      <c r="E300" s="266" t="n">
        <v>0</v>
      </c>
      <c r="F300" s="266" t="n">
        <v>0</v>
      </c>
      <c r="G300" s="266" t="n">
        <v>0</v>
      </c>
      <c r="H300" s="265" t="n">
        <v>5</v>
      </c>
      <c r="I300" s="265" t="n">
        <v>4</v>
      </c>
      <c r="J300" s="265" t="n">
        <v>4</v>
      </c>
      <c r="K300" s="267" t="s">
        <v>1641</v>
      </c>
      <c r="L300" s="265" t="n">
        <v>104</v>
      </c>
      <c r="M300" s="264"/>
    </row>
    <row r="301" customFormat="false" ht="46.25" hidden="false" customHeight="false" outlineLevel="0" collapsed="false">
      <c r="A301" s="264" t="s">
        <v>2476</v>
      </c>
      <c r="B301" s="264" t="s">
        <v>2493</v>
      </c>
      <c r="C301" s="264" t="s">
        <v>2494</v>
      </c>
      <c r="D301" s="265" t="n">
        <v>31</v>
      </c>
      <c r="E301" s="266" t="n">
        <v>0.11</v>
      </c>
      <c r="F301" s="266" t="n">
        <v>2.2</v>
      </c>
      <c r="G301" s="266" t="n">
        <v>1.28</v>
      </c>
      <c r="H301" s="265" t="n">
        <v>4</v>
      </c>
      <c r="I301" s="265" t="n">
        <v>4</v>
      </c>
      <c r="J301" s="265" t="n">
        <v>4</v>
      </c>
      <c r="K301" s="267" t="s">
        <v>1641</v>
      </c>
      <c r="L301" s="265" t="n">
        <v>104</v>
      </c>
      <c r="M301" s="264" t="s">
        <v>2495</v>
      </c>
    </row>
    <row r="302" customFormat="false" ht="113.4" hidden="false" customHeight="false" outlineLevel="0" collapsed="false">
      <c r="A302" s="264" t="s">
        <v>2476</v>
      </c>
      <c r="B302" s="264" t="s">
        <v>2496</v>
      </c>
      <c r="C302" s="264" t="s">
        <v>2497</v>
      </c>
      <c r="D302" s="265" t="n">
        <v>27</v>
      </c>
      <c r="E302" s="266" t="n">
        <v>0</v>
      </c>
      <c r="F302" s="266" t="n">
        <v>0</v>
      </c>
      <c r="G302" s="266" t="n">
        <v>0</v>
      </c>
      <c r="H302" s="265" t="n">
        <v>4</v>
      </c>
      <c r="I302" s="265" t="n">
        <v>4</v>
      </c>
      <c r="J302" s="265" t="n">
        <v>0</v>
      </c>
      <c r="K302" s="267" t="s">
        <v>1641</v>
      </c>
      <c r="L302" s="265" t="n">
        <v>105</v>
      </c>
      <c r="M302" s="264" t="s">
        <v>2498</v>
      </c>
    </row>
    <row r="303" customFormat="false" ht="57.45" hidden="false" customHeight="false" outlineLevel="0" collapsed="false">
      <c r="A303" s="264" t="s">
        <v>2476</v>
      </c>
      <c r="B303" s="264" t="s">
        <v>2499</v>
      </c>
      <c r="C303" s="264" t="s">
        <v>2500</v>
      </c>
      <c r="D303" s="265" t="n">
        <v>50</v>
      </c>
      <c r="E303" s="266" t="n">
        <v>0</v>
      </c>
      <c r="F303" s="266" t="n">
        <v>0</v>
      </c>
      <c r="G303" s="266" t="n">
        <v>0</v>
      </c>
      <c r="H303" s="265" t="n">
        <v>1</v>
      </c>
      <c r="I303" s="265" t="n">
        <v>4</v>
      </c>
      <c r="J303" s="265" t="n">
        <v>0</v>
      </c>
      <c r="K303" s="267" t="s">
        <v>1641</v>
      </c>
      <c r="L303" s="265" t="n">
        <v>105</v>
      </c>
      <c r="M303" s="264" t="s">
        <v>2501</v>
      </c>
    </row>
    <row r="304" customFormat="false" ht="35.05" hidden="false" customHeight="false" outlineLevel="0" collapsed="false">
      <c r="A304" s="264" t="s">
        <v>2476</v>
      </c>
      <c r="B304" s="264" t="s">
        <v>2502</v>
      </c>
      <c r="C304" s="264" t="s">
        <v>2503</v>
      </c>
      <c r="D304" s="265" t="n">
        <v>74</v>
      </c>
      <c r="E304" s="266" t="n">
        <v>330</v>
      </c>
      <c r="F304" s="266" t="n">
        <v>385</v>
      </c>
      <c r="G304" s="266" t="n">
        <v>365</v>
      </c>
      <c r="H304" s="265" t="n">
        <v>38</v>
      </c>
      <c r="I304" s="265" t="n">
        <v>37</v>
      </c>
      <c r="J304" s="265" t="n">
        <v>26</v>
      </c>
      <c r="K304" s="267" t="s">
        <v>1641</v>
      </c>
      <c r="L304" s="265" t="n">
        <v>105</v>
      </c>
      <c r="M304" s="264" t="s">
        <v>2504</v>
      </c>
    </row>
    <row r="305" customFormat="false" ht="57.45" hidden="false" customHeight="false" outlineLevel="0" collapsed="false">
      <c r="A305" s="264" t="s">
        <v>2476</v>
      </c>
      <c r="B305" s="264" t="s">
        <v>2505</v>
      </c>
      <c r="C305" s="264" t="s">
        <v>2506</v>
      </c>
      <c r="D305" s="265" t="n">
        <v>64</v>
      </c>
      <c r="E305" s="266" t="n">
        <v>0</v>
      </c>
      <c r="F305" s="266" t="n">
        <v>0</v>
      </c>
      <c r="G305" s="266" t="n">
        <v>0</v>
      </c>
      <c r="H305" s="265" t="n">
        <v>8</v>
      </c>
      <c r="I305" s="265" t="n">
        <v>5</v>
      </c>
      <c r="J305" s="265" t="n">
        <v>4</v>
      </c>
      <c r="K305" s="267" t="s">
        <v>1641</v>
      </c>
      <c r="L305" s="265" t="n">
        <v>106</v>
      </c>
      <c r="M305" s="264"/>
    </row>
    <row r="306" customFormat="false" ht="23.85" hidden="false" customHeight="false" outlineLevel="0" collapsed="false">
      <c r="A306" s="264" t="s">
        <v>2476</v>
      </c>
      <c r="B306" s="264" t="s">
        <v>2507</v>
      </c>
      <c r="C306" s="264" t="s">
        <v>2508</v>
      </c>
      <c r="D306" s="265" t="n">
        <v>45</v>
      </c>
      <c r="E306" s="266" t="n">
        <v>0</v>
      </c>
      <c r="F306" s="266" t="n">
        <v>0</v>
      </c>
      <c r="G306" s="266" t="n">
        <v>0</v>
      </c>
      <c r="H306" s="265" t="n">
        <v>5</v>
      </c>
      <c r="I306" s="265" t="n">
        <v>5</v>
      </c>
      <c r="J306" s="265" t="n">
        <v>5</v>
      </c>
      <c r="K306" s="267" t="s">
        <v>1641</v>
      </c>
      <c r="L306" s="265" t="n">
        <v>106</v>
      </c>
      <c r="M306" s="264"/>
    </row>
    <row r="307" customFormat="false" ht="23.85" hidden="false" customHeight="false" outlineLevel="0" collapsed="false">
      <c r="A307" s="264" t="s">
        <v>2476</v>
      </c>
      <c r="B307" s="264" t="s">
        <v>2509</v>
      </c>
      <c r="C307" s="264" t="s">
        <v>2510</v>
      </c>
      <c r="D307" s="265" t="n">
        <v>37</v>
      </c>
      <c r="E307" s="266" t="n">
        <v>0</v>
      </c>
      <c r="F307" s="266" t="n">
        <v>0</v>
      </c>
      <c r="G307" s="266" t="n">
        <v>0</v>
      </c>
      <c r="H307" s="265" t="n">
        <v>1</v>
      </c>
      <c r="I307" s="265" t="n">
        <v>3</v>
      </c>
      <c r="J307" s="265" t="n">
        <v>3</v>
      </c>
      <c r="K307" s="267" t="s">
        <v>1641</v>
      </c>
      <c r="L307" s="265" t="n">
        <v>106</v>
      </c>
      <c r="M307" s="264"/>
    </row>
    <row r="308" customFormat="false" ht="68.65" hidden="false" customHeight="false" outlineLevel="0" collapsed="false">
      <c r="A308" s="264" t="s">
        <v>2476</v>
      </c>
      <c r="B308" s="264" t="s">
        <v>2511</v>
      </c>
      <c r="C308" s="264" t="s">
        <v>2512</v>
      </c>
      <c r="D308" s="265" t="n">
        <v>93</v>
      </c>
      <c r="E308" s="266" t="n">
        <v>0</v>
      </c>
      <c r="F308" s="266" t="n">
        <v>0</v>
      </c>
      <c r="G308" s="266" t="n">
        <v>0</v>
      </c>
      <c r="H308" s="265" t="n">
        <v>1</v>
      </c>
      <c r="I308" s="265" t="n">
        <v>1</v>
      </c>
      <c r="J308" s="265" t="n">
        <v>1</v>
      </c>
      <c r="K308" s="267" t="s">
        <v>1641</v>
      </c>
      <c r="L308" s="265" t="n">
        <v>106</v>
      </c>
      <c r="M308" s="264" t="s">
        <v>2513</v>
      </c>
    </row>
    <row r="309" customFormat="false" ht="57.45" hidden="false" customHeight="false" outlineLevel="0" collapsed="false">
      <c r="A309" s="264" t="s">
        <v>2476</v>
      </c>
      <c r="B309" s="264" t="s">
        <v>2514</v>
      </c>
      <c r="C309" s="264" t="s">
        <v>2515</v>
      </c>
      <c r="D309" s="265" t="n">
        <v>33</v>
      </c>
      <c r="E309" s="266" t="n">
        <v>0</v>
      </c>
      <c r="F309" s="266" t="n">
        <v>0</v>
      </c>
      <c r="G309" s="266" t="n">
        <v>0</v>
      </c>
      <c r="H309" s="265" t="n">
        <v>5</v>
      </c>
      <c r="I309" s="265" t="n">
        <v>5</v>
      </c>
      <c r="J309" s="265" t="n">
        <v>5</v>
      </c>
      <c r="K309" s="267" t="s">
        <v>1641</v>
      </c>
      <c r="L309" s="265" t="n">
        <v>107</v>
      </c>
      <c r="M309" s="264" t="s">
        <v>2516</v>
      </c>
    </row>
    <row r="310" customFormat="false" ht="124.6" hidden="false" customHeight="false" outlineLevel="0" collapsed="false">
      <c r="A310" s="264" t="s">
        <v>2476</v>
      </c>
      <c r="B310" s="264" t="s">
        <v>2517</v>
      </c>
      <c r="C310" s="264" t="s">
        <v>2518</v>
      </c>
      <c r="D310" s="265" t="n">
        <v>25</v>
      </c>
      <c r="E310" s="266" t="n">
        <v>450</v>
      </c>
      <c r="F310" s="266" t="n">
        <v>450</v>
      </c>
      <c r="G310" s="266" t="n">
        <v>800</v>
      </c>
      <c r="H310" s="265" t="n">
        <v>7</v>
      </c>
      <c r="I310" s="265" t="n">
        <v>7</v>
      </c>
      <c r="J310" s="265" t="n">
        <v>8</v>
      </c>
      <c r="K310" s="267" t="s">
        <v>1641</v>
      </c>
      <c r="L310" s="265" t="n">
        <v>107</v>
      </c>
      <c r="M310" s="264" t="s">
        <v>2519</v>
      </c>
    </row>
    <row r="311" customFormat="false" ht="23.85" hidden="false" customHeight="false" outlineLevel="0" collapsed="false">
      <c r="A311" s="264" t="s">
        <v>2476</v>
      </c>
      <c r="B311" s="264" t="s">
        <v>2520</v>
      </c>
      <c r="C311" s="264" t="s">
        <v>2521</v>
      </c>
      <c r="D311" s="265" t="n">
        <v>35</v>
      </c>
      <c r="E311" s="266" t="n">
        <v>0</v>
      </c>
      <c r="F311" s="266" t="n">
        <v>0</v>
      </c>
      <c r="G311" s="266" t="n">
        <v>0</v>
      </c>
      <c r="H311" s="265" t="n">
        <v>4</v>
      </c>
      <c r="I311" s="265" t="n">
        <v>4</v>
      </c>
      <c r="J311" s="265" t="n">
        <v>4</v>
      </c>
      <c r="K311" s="267" t="s">
        <v>1641</v>
      </c>
      <c r="L311" s="265" t="n">
        <v>108</v>
      </c>
      <c r="M311" s="264"/>
    </row>
    <row r="312" customFormat="false" ht="79.85" hidden="false" customHeight="false" outlineLevel="0" collapsed="false">
      <c r="A312" s="264" t="s">
        <v>2476</v>
      </c>
      <c r="B312" s="264" t="s">
        <v>2522</v>
      </c>
      <c r="C312" s="264" t="s">
        <v>2523</v>
      </c>
      <c r="D312" s="265" t="n">
        <v>23</v>
      </c>
      <c r="E312" s="266" t="n">
        <v>0</v>
      </c>
      <c r="F312" s="266" t="n">
        <v>0</v>
      </c>
      <c r="G312" s="266" t="n">
        <v>0</v>
      </c>
      <c r="H312" s="265" t="n">
        <v>0</v>
      </c>
      <c r="I312" s="265" t="n">
        <v>0</v>
      </c>
      <c r="J312" s="265" t="n">
        <v>0</v>
      </c>
      <c r="K312" s="267" t="s">
        <v>1641</v>
      </c>
      <c r="L312" s="265" t="n">
        <v>108</v>
      </c>
      <c r="M312" s="264" t="s">
        <v>2524</v>
      </c>
    </row>
    <row r="313" customFormat="false" ht="46.25" hidden="false" customHeight="false" outlineLevel="0" collapsed="false">
      <c r="A313" s="264" t="s">
        <v>2525</v>
      </c>
      <c r="B313" s="264" t="s">
        <v>2526</v>
      </c>
      <c r="C313" s="264" t="s">
        <v>2527</v>
      </c>
      <c r="D313" s="265" t="n">
        <v>24</v>
      </c>
      <c r="E313" s="266" t="n">
        <v>49.3</v>
      </c>
      <c r="F313" s="266" t="n">
        <v>79.6</v>
      </c>
      <c r="G313" s="266" t="n">
        <v>78.4</v>
      </c>
      <c r="H313" s="265" t="n">
        <v>30</v>
      </c>
      <c r="I313" s="265" t="n">
        <v>28</v>
      </c>
      <c r="J313" s="265" t="n">
        <v>24</v>
      </c>
      <c r="K313" s="267" t="s">
        <v>1641</v>
      </c>
      <c r="L313" s="265" t="n">
        <v>109</v>
      </c>
      <c r="M313" s="264" t="s">
        <v>2528</v>
      </c>
    </row>
    <row r="314" customFormat="false" ht="46.25" hidden="false" customHeight="false" outlineLevel="0" collapsed="false">
      <c r="A314" s="264" t="s">
        <v>2525</v>
      </c>
      <c r="B314" s="264" t="s">
        <v>2529</v>
      </c>
      <c r="C314" s="264" t="s">
        <v>2530</v>
      </c>
      <c r="D314" s="265" t="n">
        <v>7</v>
      </c>
      <c r="E314" s="266" t="n">
        <v>7.28</v>
      </c>
      <c r="F314" s="266" t="n">
        <v>9.71</v>
      </c>
      <c r="G314" s="266" t="n">
        <v>11.56</v>
      </c>
      <c r="H314" s="265" t="n">
        <v>7</v>
      </c>
      <c r="I314" s="265" t="n">
        <v>8</v>
      </c>
      <c r="J314" s="265" t="n">
        <v>9</v>
      </c>
      <c r="K314" s="267" t="s">
        <v>1641</v>
      </c>
      <c r="L314" s="265" t="n">
        <v>109</v>
      </c>
      <c r="M314" s="264" t="s">
        <v>2531</v>
      </c>
    </row>
    <row r="315" customFormat="false" ht="57.45" hidden="false" customHeight="false" outlineLevel="0" collapsed="false">
      <c r="A315" s="264" t="s">
        <v>2525</v>
      </c>
      <c r="B315" s="264" t="s">
        <v>2532</v>
      </c>
      <c r="C315" s="264" t="s">
        <v>2533</v>
      </c>
      <c r="D315" s="265" t="n">
        <v>12</v>
      </c>
      <c r="E315" s="266" t="n">
        <v>0</v>
      </c>
      <c r="F315" s="266" t="n">
        <v>0.29</v>
      </c>
      <c r="G315" s="266" t="n">
        <v>0.27</v>
      </c>
      <c r="H315" s="265" t="n">
        <v>0</v>
      </c>
      <c r="I315" s="265" t="n">
        <v>1</v>
      </c>
      <c r="J315" s="265" t="n">
        <v>1</v>
      </c>
      <c r="K315" s="267" t="s">
        <v>1641</v>
      </c>
      <c r="L315" s="265" t="n">
        <v>109</v>
      </c>
      <c r="M315" s="264" t="s">
        <v>2534</v>
      </c>
    </row>
    <row r="316" customFormat="false" ht="79.85" hidden="false" customHeight="false" outlineLevel="0" collapsed="false">
      <c r="A316" s="264" t="s">
        <v>2525</v>
      </c>
      <c r="B316" s="264" t="s">
        <v>2535</v>
      </c>
      <c r="C316" s="264" t="s">
        <v>2536</v>
      </c>
      <c r="D316" s="265" t="n">
        <v>55</v>
      </c>
      <c r="E316" s="266" t="n">
        <v>23</v>
      </c>
      <c r="F316" s="266" t="n">
        <v>37.1</v>
      </c>
      <c r="G316" s="266" t="n">
        <v>32.4</v>
      </c>
      <c r="H316" s="265" t="n">
        <v>3</v>
      </c>
      <c r="I316" s="265" t="n">
        <v>4</v>
      </c>
      <c r="J316" s="265" t="n">
        <v>3</v>
      </c>
      <c r="K316" s="267" t="s">
        <v>1641</v>
      </c>
      <c r="L316" s="265" t="n">
        <v>110</v>
      </c>
      <c r="M316" s="264" t="s">
        <v>2537</v>
      </c>
    </row>
    <row r="317" customFormat="false" ht="68.65" hidden="false" customHeight="false" outlineLevel="0" collapsed="false">
      <c r="A317" s="264" t="s">
        <v>2525</v>
      </c>
      <c r="B317" s="264" t="s">
        <v>2538</v>
      </c>
      <c r="C317" s="264" t="s">
        <v>2539</v>
      </c>
      <c r="D317" s="265" t="n">
        <v>23</v>
      </c>
      <c r="E317" s="266" t="n">
        <v>58.1</v>
      </c>
      <c r="F317" s="266" t="n">
        <v>37.8</v>
      </c>
      <c r="G317" s="266" t="n">
        <v>40.4</v>
      </c>
      <c r="H317" s="265" t="n">
        <v>8</v>
      </c>
      <c r="I317" s="265" t="n">
        <v>5</v>
      </c>
      <c r="J317" s="265" t="n">
        <v>5</v>
      </c>
      <c r="K317" s="267" t="s">
        <v>1641</v>
      </c>
      <c r="L317" s="265" t="n">
        <v>110</v>
      </c>
      <c r="M317" s="264" t="s">
        <v>2540</v>
      </c>
    </row>
    <row r="318" customFormat="false" ht="102.2" hidden="false" customHeight="false" outlineLevel="0" collapsed="false">
      <c r="A318" s="264" t="s">
        <v>2541</v>
      </c>
      <c r="B318" s="264" t="s">
        <v>2542</v>
      </c>
      <c r="C318" s="264" t="s">
        <v>2543</v>
      </c>
      <c r="D318" s="265" t="n">
        <v>47</v>
      </c>
      <c r="E318" s="266" t="n">
        <v>0.3</v>
      </c>
      <c r="F318" s="266" t="n">
        <v>0.3</v>
      </c>
      <c r="G318" s="266" t="n">
        <v>4.1</v>
      </c>
      <c r="H318" s="265" t="n">
        <v>2</v>
      </c>
      <c r="I318" s="265" t="n">
        <v>2</v>
      </c>
      <c r="J318" s="265" t="n">
        <v>2</v>
      </c>
      <c r="K318" s="267" t="s">
        <v>1641</v>
      </c>
      <c r="L318" s="265" t="n">
        <v>111</v>
      </c>
      <c r="M318" s="264" t="s">
        <v>2544</v>
      </c>
    </row>
    <row r="319" customFormat="false" ht="15" hidden="false" customHeight="false" outlineLevel="0" collapsed="false">
      <c r="A319" s="264"/>
      <c r="B319" s="264" t="s">
        <v>2545</v>
      </c>
      <c r="C319" s="264" t="s">
        <v>2546</v>
      </c>
      <c r="D319" s="265"/>
      <c r="E319" s="266"/>
      <c r="F319" s="266"/>
      <c r="G319" s="266"/>
      <c r="H319" s="265"/>
      <c r="I319" s="265"/>
      <c r="J319" s="265"/>
      <c r="K319" s="267" t="s">
        <v>2547</v>
      </c>
      <c r="L319" s="265" t="n">
        <v>112</v>
      </c>
      <c r="M319" s="264"/>
    </row>
    <row r="320" customFormat="false" ht="23.85" hidden="false" customHeight="false" outlineLevel="0" collapsed="false">
      <c r="A320" s="264"/>
      <c r="B320" s="264" t="s">
        <v>1914</v>
      </c>
      <c r="C320" s="264" t="s">
        <v>2548</v>
      </c>
      <c r="D320" s="265"/>
      <c r="E320" s="266"/>
      <c r="F320" s="266"/>
      <c r="G320" s="266"/>
      <c r="H320" s="265"/>
      <c r="I320" s="265"/>
      <c r="J320" s="265"/>
      <c r="K320" s="267" t="s">
        <v>2547</v>
      </c>
      <c r="L320" s="265" t="n">
        <v>112</v>
      </c>
      <c r="M320" s="264"/>
    </row>
    <row r="321" customFormat="false" ht="23.85" hidden="false" customHeight="false" outlineLevel="0" collapsed="false">
      <c r="A321" s="264"/>
      <c r="B321" s="264" t="s">
        <v>1914</v>
      </c>
      <c r="C321" s="264" t="s">
        <v>2549</v>
      </c>
      <c r="D321" s="265"/>
      <c r="E321" s="266"/>
      <c r="F321" s="266"/>
      <c r="G321" s="266"/>
      <c r="H321" s="265"/>
      <c r="I321" s="265"/>
      <c r="J321" s="265"/>
      <c r="K321" s="267" t="s">
        <v>2547</v>
      </c>
      <c r="L321" s="265" t="n">
        <v>112</v>
      </c>
      <c r="M321" s="264"/>
    </row>
    <row r="322" customFormat="false" ht="15" hidden="false" customHeight="false" outlineLevel="0" collapsed="false">
      <c r="A322" s="264"/>
      <c r="B322" s="264" t="s">
        <v>1914</v>
      </c>
      <c r="C322" s="264" t="s">
        <v>2550</v>
      </c>
      <c r="D322" s="265"/>
      <c r="E322" s="266"/>
      <c r="F322" s="266"/>
      <c r="G322" s="266"/>
      <c r="H322" s="265"/>
      <c r="I322" s="265"/>
      <c r="J322" s="265"/>
      <c r="K322" s="267" t="s">
        <v>2547</v>
      </c>
      <c r="L322" s="265" t="n">
        <v>112</v>
      </c>
      <c r="M322" s="264"/>
    </row>
    <row r="323" customFormat="false" ht="15" hidden="false" customHeight="false" outlineLevel="0" collapsed="false">
      <c r="A323" s="264"/>
      <c r="B323" s="264" t="s">
        <v>2551</v>
      </c>
      <c r="C323" s="264" t="s">
        <v>2552</v>
      </c>
      <c r="D323" s="265"/>
      <c r="E323" s="266"/>
      <c r="F323" s="266"/>
      <c r="G323" s="266"/>
      <c r="H323" s="265"/>
      <c r="I323" s="265"/>
      <c r="J323" s="265"/>
      <c r="K323" s="267" t="s">
        <v>2547</v>
      </c>
      <c r="L323" s="265" t="n">
        <v>112</v>
      </c>
      <c r="M323" s="264"/>
    </row>
    <row r="324" customFormat="false" ht="15" hidden="false" customHeight="false" outlineLevel="0" collapsed="false">
      <c r="A324" s="264"/>
      <c r="B324" s="264" t="s">
        <v>2551</v>
      </c>
      <c r="C324" s="264" t="s">
        <v>2553</v>
      </c>
      <c r="D324" s="265"/>
      <c r="E324" s="266"/>
      <c r="F324" s="266"/>
      <c r="G324" s="266"/>
      <c r="H324" s="265"/>
      <c r="I324" s="265"/>
      <c r="J324" s="265"/>
      <c r="K324" s="267" t="s">
        <v>2547</v>
      </c>
      <c r="L324" s="265" t="n">
        <v>113</v>
      </c>
      <c r="M324" s="264"/>
    </row>
    <row r="325" customFormat="false" ht="15" hidden="false" customHeight="false" outlineLevel="0" collapsed="false">
      <c r="A325" s="264"/>
      <c r="B325" s="264" t="s">
        <v>1047</v>
      </c>
      <c r="C325" s="264" t="s">
        <v>2554</v>
      </c>
      <c r="D325" s="265"/>
      <c r="E325" s="266"/>
      <c r="F325" s="266"/>
      <c r="G325" s="266"/>
      <c r="H325" s="265"/>
      <c r="I325" s="265"/>
      <c r="J325" s="265"/>
      <c r="K325" s="267" t="s">
        <v>2547</v>
      </c>
      <c r="L325" s="265" t="n">
        <v>113</v>
      </c>
      <c r="M325" s="264"/>
    </row>
  </sheetData>
  <autoFilter ref="A1:M325"/>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2025-08-11T09:04:42Z</dcterms:created>
  <dc:creator>Direction du Budget</dc:creator>
  <dc:description/>
  <dc:language>en-US</dc:language>
  <cp:lastModifiedBy>Ingrid Barrat</cp:lastModifiedBy>
  <dcterms:modified xsi:type="dcterms:W3CDTF">2026-09-11T15:54:08Z</dcterms:modified>
  <cp:revision>0</cp:revision>
  <dc:subject/>
  <dc:title>Synthèse chiffrée des rapports annuels de performance (RAP) 2024</dc:title>
</cp:coreProperties>
</file>